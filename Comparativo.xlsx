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Documents\python-projetos\"/>
    </mc:Choice>
  </mc:AlternateContent>
  <xr:revisionPtr revIDLastSave="0" documentId="13_ncr:1_{2BDD835B-D74C-4E5B-A620-C2CCC0E4D732}" xr6:coauthVersionLast="47" xr6:coauthVersionMax="47" xr10:uidLastSave="{00000000-0000-0000-0000-000000000000}"/>
  <bookViews>
    <workbookView xWindow="-120" yWindow="-120" windowWidth="20730" windowHeight="11040" xr2:uid="{936B20B5-D6FE-48AD-B671-4F2D53A17D8D}"/>
  </bookViews>
  <sheets>
    <sheet name="Base" sheetId="3" r:id="rId1"/>
  </sheets>
  <externalReferences>
    <externalReference r:id="rId2"/>
  </externalReferences>
  <definedNames>
    <definedName name="_xlnm._FilterDatabase" localSheetId="0" hidden="1">Base!$A$1:$L$840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3" l="1"/>
  <c r="A840" i="3"/>
  <c r="A837" i="3"/>
  <c r="A836" i="3"/>
  <c r="A835" i="3"/>
  <c r="A834" i="3"/>
  <c r="A833" i="3"/>
  <c r="A832" i="3"/>
  <c r="A831" i="3"/>
  <c r="A829" i="3"/>
  <c r="A828" i="3"/>
  <c r="A827" i="3"/>
  <c r="A826" i="3"/>
  <c r="A825" i="3"/>
  <c r="A824" i="3"/>
  <c r="A823" i="3"/>
  <c r="A820" i="3"/>
  <c r="A818" i="3"/>
  <c r="A817" i="3"/>
  <c r="A816" i="3"/>
  <c r="A815" i="3"/>
  <c r="A814" i="3"/>
  <c r="A813" i="3"/>
  <c r="A812" i="3"/>
  <c r="A811" i="3"/>
  <c r="A810" i="3"/>
  <c r="A809" i="3"/>
  <c r="A807" i="3"/>
  <c r="A806" i="3"/>
  <c r="A805" i="3"/>
  <c r="A804" i="3"/>
  <c r="A803" i="3"/>
  <c r="A802" i="3"/>
  <c r="A801" i="3"/>
  <c r="A799" i="3"/>
  <c r="A798" i="3"/>
  <c r="A797" i="3"/>
  <c r="A796" i="3"/>
  <c r="A795" i="3"/>
  <c r="A794" i="3"/>
  <c r="A793" i="3"/>
  <c r="A791" i="3"/>
  <c r="A790" i="3"/>
  <c r="A789" i="3"/>
  <c r="A788" i="3"/>
  <c r="A787" i="3"/>
  <c r="A786" i="3"/>
  <c r="A785" i="3"/>
  <c r="A784" i="3"/>
  <c r="A783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5" i="3"/>
  <c r="A764" i="3"/>
  <c r="A763" i="3"/>
  <c r="A762" i="3"/>
  <c r="A761" i="3"/>
  <c r="A760" i="3"/>
  <c r="A759" i="3"/>
  <c r="A758" i="3"/>
  <c r="A757" i="3"/>
  <c r="A756" i="3"/>
  <c r="A754" i="3"/>
  <c r="A752" i="3"/>
  <c r="A751" i="3"/>
  <c r="A750" i="3"/>
  <c r="A749" i="3"/>
  <c r="A748" i="3"/>
  <c r="A747" i="3"/>
  <c r="A746" i="3"/>
  <c r="A745" i="3"/>
  <c r="A744" i="3"/>
  <c r="A743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2" i="3"/>
  <c r="A691" i="3"/>
  <c r="A690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66" i="3"/>
  <c r="A665" i="3"/>
  <c r="A652" i="3"/>
  <c r="A651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2" i="3"/>
  <c r="A631" i="3"/>
  <c r="A630" i="3"/>
  <c r="A629" i="3"/>
  <c r="A628" i="3"/>
  <c r="A626" i="3"/>
  <c r="A671" i="3"/>
  <c r="B840" i="3" l="1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A624" i="3"/>
  <c r="A623" i="3"/>
  <c r="A622" i="3"/>
  <c r="A621" i="3"/>
  <c r="A620" i="3"/>
  <c r="A619" i="3"/>
  <c r="A618" i="3"/>
  <c r="A617" i="3"/>
  <c r="A616" i="3"/>
  <c r="A615" i="3"/>
  <c r="A613" i="3"/>
  <c r="A612" i="3"/>
  <c r="A611" i="3"/>
  <c r="A610" i="3"/>
  <c r="A609" i="3"/>
  <c r="A608" i="3"/>
  <c r="A607" i="3"/>
  <c r="A606" i="3"/>
  <c r="A604" i="3"/>
  <c r="A603" i="3"/>
  <c r="A602" i="3"/>
  <c r="A601" i="3"/>
  <c r="A600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4" i="3"/>
  <c r="A543" i="3"/>
  <c r="A542" i="3"/>
  <c r="A540" i="3"/>
  <c r="A539" i="3"/>
  <c r="A538" i="3"/>
  <c r="A537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06" i="3"/>
  <c r="A505" i="3"/>
  <c r="A504" i="3"/>
  <c r="A503" i="3"/>
  <c r="A502" i="3"/>
  <c r="A501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49" i="3"/>
  <c r="A448" i="3"/>
  <c r="A447" i="3"/>
  <c r="A446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5" i="3"/>
  <c r="A414" i="3"/>
  <c r="A413" i="3"/>
  <c r="A412" i="3"/>
  <c r="A411" i="3"/>
  <c r="A409" i="3"/>
  <c r="A407" i="3"/>
  <c r="A405" i="3"/>
  <c r="A404" i="3"/>
  <c r="A403" i="3"/>
  <c r="A402" i="3"/>
  <c r="A401" i="3"/>
  <c r="A399" i="3"/>
  <c r="A398" i="3"/>
  <c r="A397" i="3"/>
  <c r="A396" i="3"/>
  <c r="A394" i="3"/>
  <c r="A392" i="3"/>
  <c r="A390" i="3"/>
  <c r="A388" i="3"/>
  <c r="A387" i="3"/>
  <c r="A386" i="3"/>
  <c r="A385" i="3"/>
  <c r="A384" i="3"/>
  <c r="A383" i="3"/>
  <c r="A382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1" i="3"/>
  <c r="A360" i="3"/>
  <c r="A359" i="3"/>
  <c r="A358" i="3"/>
  <c r="A357" i="3"/>
  <c r="A356" i="3"/>
  <c r="A355" i="3"/>
  <c r="A354" i="3"/>
  <c r="A353" i="3"/>
  <c r="A352" i="3"/>
  <c r="A337" i="3"/>
  <c r="A335" i="3"/>
  <c r="A334" i="3"/>
  <c r="A333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7" i="3"/>
  <c r="A306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7" i="3"/>
  <c r="A284" i="3"/>
  <c r="A283" i="3"/>
  <c r="A282" i="3"/>
  <c r="A281" i="3"/>
  <c r="A280" i="3"/>
  <c r="A277" i="3"/>
  <c r="A276" i="3"/>
  <c r="A275" i="3"/>
  <c r="A274" i="3"/>
  <c r="A273" i="3"/>
  <c r="A272" i="3"/>
  <c r="A271" i="3"/>
  <c r="A270" i="3"/>
  <c r="A268" i="3"/>
  <c r="A267" i="3"/>
  <c r="A266" i="3"/>
  <c r="A263" i="3"/>
  <c r="A262" i="3"/>
  <c r="A260" i="3"/>
  <c r="A257" i="3"/>
  <c r="A254" i="3"/>
  <c r="A253" i="3"/>
  <c r="A252" i="3"/>
  <c r="A251" i="3"/>
  <c r="A250" i="3"/>
  <c r="A249" i="3"/>
  <c r="A248" i="3"/>
  <c r="A247" i="3"/>
  <c r="A246" i="3"/>
  <c r="A244" i="3"/>
  <c r="A243" i="3"/>
  <c r="A242" i="3"/>
  <c r="A241" i="3"/>
  <c r="A240" i="3"/>
  <c r="A239" i="3"/>
  <c r="A238" i="3"/>
  <c r="A237" i="3"/>
  <c r="A236" i="3"/>
  <c r="A235" i="3"/>
  <c r="A232" i="3"/>
  <c r="A231" i="3"/>
  <c r="A230" i="3"/>
  <c r="A229" i="3"/>
  <c r="A228" i="3"/>
  <c r="A227" i="3"/>
  <c r="A226" i="3"/>
  <c r="A224" i="3"/>
  <c r="A222" i="3"/>
  <c r="A221" i="3"/>
  <c r="A220" i="3"/>
  <c r="A219" i="3"/>
  <c r="A218" i="3"/>
  <c r="A217" i="3"/>
  <c r="A216" i="3"/>
  <c r="A215" i="3"/>
  <c r="A214" i="3"/>
  <c r="A211" i="3"/>
  <c r="A210" i="3"/>
  <c r="A209" i="3"/>
  <c r="A208" i="3"/>
  <c r="A206" i="3"/>
  <c r="A205" i="3"/>
  <c r="A204" i="3"/>
  <c r="A203" i="3"/>
  <c r="A202" i="3"/>
  <c r="A201" i="3"/>
  <c r="A200" i="3"/>
  <c r="A198" i="3"/>
  <c r="A197" i="3"/>
  <c r="A195" i="3"/>
  <c r="A194" i="3"/>
  <c r="A193" i="3"/>
  <c r="A190" i="3"/>
  <c r="A188" i="3"/>
  <c r="A187" i="3"/>
  <c r="A186" i="3"/>
  <c r="A185" i="3"/>
  <c r="A184" i="3"/>
  <c r="A183" i="3"/>
  <c r="A181" i="3"/>
  <c r="A180" i="3"/>
  <c r="A179" i="3"/>
  <c r="A177" i="3"/>
  <c r="A176" i="3"/>
  <c r="A175" i="3"/>
  <c r="A174" i="3"/>
  <c r="A173" i="3"/>
  <c r="A172" i="3"/>
  <c r="A171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29" i="3"/>
  <c r="A128" i="3"/>
  <c r="A127" i="3"/>
  <c r="A126" i="3"/>
  <c r="A125" i="3"/>
  <c r="A124" i="3"/>
  <c r="A121" i="3"/>
  <c r="A119" i="3"/>
  <c r="A116" i="3"/>
  <c r="A115" i="3"/>
  <c r="A114" i="3"/>
  <c r="A113" i="3"/>
  <c r="A112" i="3"/>
  <c r="A110" i="3"/>
  <c r="A109" i="3"/>
  <c r="A108" i="3"/>
  <c r="A107" i="3"/>
  <c r="A106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7" i="3"/>
  <c r="A76" i="3"/>
  <c r="A75" i="3"/>
  <c r="A74" i="3"/>
  <c r="A70" i="3"/>
  <c r="A69" i="3"/>
  <c r="A68" i="3"/>
  <c r="A67" i="3"/>
  <c r="A50" i="3"/>
  <c r="A47" i="3"/>
  <c r="A46" i="3"/>
  <c r="A45" i="3"/>
  <c r="A44" i="3"/>
  <c r="A43" i="3"/>
  <c r="A41" i="3"/>
  <c r="A40" i="3"/>
  <c r="A39" i="3"/>
  <c r="A34" i="3"/>
  <c r="A33" i="3"/>
  <c r="A32" i="3"/>
  <c r="A31" i="3"/>
  <c r="A30" i="3"/>
  <c r="A29" i="3"/>
  <c r="A28" i="3"/>
  <c r="A27" i="3"/>
  <c r="A26" i="3"/>
  <c r="A25" i="3"/>
  <c r="A24" i="3"/>
  <c r="A23" i="3"/>
  <c r="A21" i="3"/>
  <c r="A20" i="3"/>
  <c r="A19" i="3"/>
  <c r="A17" i="3"/>
  <c r="A16" i="3"/>
  <c r="A15" i="3"/>
  <c r="A14" i="3"/>
  <c r="A12" i="3"/>
  <c r="A11" i="3"/>
  <c r="A10" i="3"/>
  <c r="A9" i="3"/>
  <c r="A8" i="3"/>
  <c r="A7" i="3"/>
  <c r="A6" i="3"/>
  <c r="A5" i="3"/>
  <c r="A4" i="3"/>
  <c r="A3" i="3"/>
  <c r="A2" i="3"/>
  <c r="B624" i="3" l="1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2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</calcChain>
</file>

<file path=xl/sharedStrings.xml><?xml version="1.0" encoding="utf-8"?>
<sst xmlns="http://schemas.openxmlformats.org/spreadsheetml/2006/main" count="5846" uniqueCount="900">
  <si>
    <t>CBA</t>
  </si>
  <si>
    <t>CITROSUCO</t>
  </si>
  <si>
    <t>VERDE FORTE</t>
  </si>
  <si>
    <t>AMBEV</t>
  </si>
  <si>
    <t>OUTROS</t>
  </si>
  <si>
    <t>COLGATE</t>
  </si>
  <si>
    <t>IMERYS</t>
  </si>
  <si>
    <t>CLIENTE</t>
  </si>
  <si>
    <t>DOCUMENTO</t>
  </si>
  <si>
    <t>CLASSIFICAÇÃO</t>
  </si>
  <si>
    <t>ORIG</t>
  </si>
  <si>
    <t>DT. EMISSÃO</t>
  </si>
  <si>
    <t>DT. RECBTO.</t>
  </si>
  <si>
    <t>PARC.</t>
  </si>
  <si>
    <t>TIPO</t>
  </si>
  <si>
    <t>CLIENTE / FORNECEDOR</t>
  </si>
  <si>
    <t>REFERÊNCIA</t>
  </si>
  <si>
    <t>VALOR</t>
  </si>
  <si>
    <t>01 - 1 - 61639</t>
  </si>
  <si>
    <t>00022 - RECEITAS COM CTE PRÓPRIO</t>
  </si>
  <si>
    <t>CTE - FP</t>
  </si>
  <si>
    <t>000</t>
  </si>
  <si>
    <t>CTRC</t>
  </si>
  <si>
    <t>ALFA MINAS COMERCIAL DE ALUMINIO LT DA EPP</t>
  </si>
  <si>
    <t>01 - 1 - 61652</t>
  </si>
  <si>
    <t>CITROSUCO S/A AGROINDUSTRIA</t>
  </si>
  <si>
    <t>01 - 1 - 61655</t>
  </si>
  <si>
    <t>Verde Forte Papeis S.A</t>
  </si>
  <si>
    <t>01 - 1 - 61657</t>
  </si>
  <si>
    <t>01 - 1 - 61661</t>
  </si>
  <si>
    <t>01 - 1 - 61679</t>
  </si>
  <si>
    <t>01 - 1 - 61680</t>
  </si>
  <si>
    <t>01 - 1 - 61681</t>
  </si>
  <si>
    <t>01 - 1 - 61682</t>
  </si>
  <si>
    <t>01 - 1 - 61686</t>
  </si>
  <si>
    <t>01 - 1 - 61692</t>
  </si>
  <si>
    <t>01 - 1 - 61694</t>
  </si>
  <si>
    <t>01 - 1 - 61695</t>
  </si>
  <si>
    <t>01 - 1 - 61696</t>
  </si>
  <si>
    <t>01 - 1 - 61697</t>
  </si>
  <si>
    <t>01 - 1 - 61700</t>
  </si>
  <si>
    <t>01 - 1 - 61701</t>
  </si>
  <si>
    <t>01 - 1 - 61703</t>
  </si>
  <si>
    <t>01 - 1 - 61704</t>
  </si>
  <si>
    <t>01 - 1 - 61706</t>
  </si>
  <si>
    <t>01 - 1 - 61707</t>
  </si>
  <si>
    <t>01 - 1 - 61708</t>
  </si>
  <si>
    <t>01 - 1 - 61710</t>
  </si>
  <si>
    <t>01 - 1 - 61712</t>
  </si>
  <si>
    <t>01 - 1 - 61717</t>
  </si>
  <si>
    <t>01 - 1 - 61718</t>
  </si>
  <si>
    <t>01 - 1 - 61711</t>
  </si>
  <si>
    <t>01 - 1 - 61720</t>
  </si>
  <si>
    <t>01 - 1 - 61736</t>
  </si>
  <si>
    <t>TRANSPORTES CASARINO LTDA</t>
  </si>
  <si>
    <t>01 - 1 - 61756</t>
  </si>
  <si>
    <t>01 - 1 - 61764</t>
  </si>
  <si>
    <t>01 - 1 - 61770</t>
  </si>
  <si>
    <t>01 - 1 - 61771</t>
  </si>
  <si>
    <t>01 - 1 - 61774</t>
  </si>
  <si>
    <t>01 - 1 - 61775</t>
  </si>
  <si>
    <t>01 - 1 - 61777</t>
  </si>
  <si>
    <t>01 - 1 - 61785</t>
  </si>
  <si>
    <t>UNIPAR INDUPA DO BRASIL S/A</t>
  </si>
  <si>
    <t>01 - 1 - 61789</t>
  </si>
  <si>
    <t>01 - 1 - 61814</t>
  </si>
  <si>
    <t>01 - 1 - 61830</t>
  </si>
  <si>
    <t>01 - 1 - 61843</t>
  </si>
  <si>
    <t>01 - 1 - 61846</t>
  </si>
  <si>
    <t>COMPANHIA BRASILEIRA DE ALUMINIO</t>
  </si>
  <si>
    <t>01 - 1 - 61850</t>
  </si>
  <si>
    <t>01 - 1 - 61851</t>
  </si>
  <si>
    <t>01 - 1 - 61852</t>
  </si>
  <si>
    <t>01 - 1 - 61856</t>
  </si>
  <si>
    <t>01 - 1 - 61863</t>
  </si>
  <si>
    <t>01 - 1 - 61873</t>
  </si>
  <si>
    <t>01 - 1 - 61877</t>
  </si>
  <si>
    <t>01 - 1 - 61878</t>
  </si>
  <si>
    <t>01 - 1 - 61889</t>
  </si>
  <si>
    <t>01 - 1 - 61892</t>
  </si>
  <si>
    <t>01 - 1 - 61900</t>
  </si>
  <si>
    <t>01 - 1 - 61901</t>
  </si>
  <si>
    <t>01 - 1 - 61916</t>
  </si>
  <si>
    <t>01 - 1 - 61927</t>
  </si>
  <si>
    <t>01 - 1 - 61928</t>
  </si>
  <si>
    <t>01 - 1 - 61930</t>
  </si>
  <si>
    <t>01 - 1 - 61931</t>
  </si>
  <si>
    <t>01 - 1 - 61933</t>
  </si>
  <si>
    <t>01 - 1 - 61936</t>
  </si>
  <si>
    <t>01 - 1 - 61937</t>
  </si>
  <si>
    <t>01 - 1 - 61939</t>
  </si>
  <si>
    <t>01 - 1 - 61941</t>
  </si>
  <si>
    <t>01 - 1 - 61949</t>
  </si>
  <si>
    <t>01 - 1 - 61950</t>
  </si>
  <si>
    <t>01 - 1 - 61958</t>
  </si>
  <si>
    <t>01 - 1 - 61960</t>
  </si>
  <si>
    <t>01 - 1 - 61961</t>
  </si>
  <si>
    <t>01 - 1 - 61976</t>
  </si>
  <si>
    <t>01 - 1 - 61977</t>
  </si>
  <si>
    <t>01 - 1 - 61978</t>
  </si>
  <si>
    <t>01 - 1 - 61981</t>
  </si>
  <si>
    <t>01 - 1 - 62005</t>
  </si>
  <si>
    <t>01 - 1 - 62006</t>
  </si>
  <si>
    <t>01 - 1 - 62007</t>
  </si>
  <si>
    <t>01 - 1 - 62011</t>
  </si>
  <si>
    <t>01 - 1 - 62013</t>
  </si>
  <si>
    <t>01 - 1 - 62014</t>
  </si>
  <si>
    <t>01 - 1 - 62015</t>
  </si>
  <si>
    <t>01 - 1 - 62016</t>
  </si>
  <si>
    <t>01 - 1 - 62017</t>
  </si>
  <si>
    <t>01 - 1 - 62018</t>
  </si>
  <si>
    <t>01 - 1 - 62019</t>
  </si>
  <si>
    <t>01 - 1 - 62020</t>
  </si>
  <si>
    <t>01 - 1 - 62021</t>
  </si>
  <si>
    <t>01 - 1 - 62022</t>
  </si>
  <si>
    <t>01 - 1 - 62023</t>
  </si>
  <si>
    <t>01 - 1 - 62024</t>
  </si>
  <si>
    <t>01 - 1 - 62025</t>
  </si>
  <si>
    <t>01 - 1 - 62008</t>
  </si>
  <si>
    <t>01 - 1 - 62032</t>
  </si>
  <si>
    <t>GOMES &amp; CAVALCANTE COMERCIO DE</t>
  </si>
  <si>
    <t>01 - 1 - 62036</t>
  </si>
  <si>
    <t>01 - 1 - 62037</t>
  </si>
  <si>
    <t>01 - 1 - 62038</t>
  </si>
  <si>
    <t>01 - 1 - 62039</t>
  </si>
  <si>
    <t>01 - 1 - 62040</t>
  </si>
  <si>
    <t>01 - 1 - 62041</t>
  </si>
  <si>
    <t>01 - 1 - 62055</t>
  </si>
  <si>
    <t>01 - 1 - 62064</t>
  </si>
  <si>
    <t>01 - 1 - 62065</t>
  </si>
  <si>
    <t>01 - 1 - 62067</t>
  </si>
  <si>
    <t>01 - 1 - 62073</t>
  </si>
  <si>
    <t>01 - 1 - 62081</t>
  </si>
  <si>
    <t>01 - 1 - 62083</t>
  </si>
  <si>
    <t>01 - 1 - 62085</t>
  </si>
  <si>
    <t>01 - 1 - 62075</t>
  </si>
  <si>
    <t>01 - 1 - 62074</t>
  </si>
  <si>
    <t>01 - 1 - 62091</t>
  </si>
  <si>
    <t>01 - 1 - 62092</t>
  </si>
  <si>
    <t>01 - 1 - 62098</t>
  </si>
  <si>
    <t>01 - 1 - 62104</t>
  </si>
  <si>
    <t>01 - 1 - 62115</t>
  </si>
  <si>
    <t>01 - 1 - 62116</t>
  </si>
  <si>
    <t>01 - 1 - 62121</t>
  </si>
  <si>
    <t>01 - 1 - 62145</t>
  </si>
  <si>
    <t>01 - 1 - 62151</t>
  </si>
  <si>
    <t>01 - 1 - 62154</t>
  </si>
  <si>
    <t>01 - 1 - 62170</t>
  </si>
  <si>
    <t>01 - 1 - 62171</t>
  </si>
  <si>
    <t>01 - 1 - 62172</t>
  </si>
  <si>
    <t>01 - 1 - 62173</t>
  </si>
  <si>
    <t>01 - 1 - 62174</t>
  </si>
  <si>
    <t>01 - 1 - 62175</t>
  </si>
  <si>
    <t>01 - 1 - 62182</t>
  </si>
  <si>
    <t>01 - 1 - 62183</t>
  </si>
  <si>
    <t>01 - 1 - 62184</t>
  </si>
  <si>
    <t>01 - 1 - 62185</t>
  </si>
  <si>
    <t>01 - 1 - 62186</t>
  </si>
  <si>
    <t>01 - 1 - 62187</t>
  </si>
  <si>
    <t>01 - 1 - 62188</t>
  </si>
  <si>
    <t>01 - 1 - 62189</t>
  </si>
  <si>
    <t>01 - 1 - 62190</t>
  </si>
  <si>
    <t>01 - 1 - 62191</t>
  </si>
  <si>
    <t>01 - 1 - 62192</t>
  </si>
  <si>
    <t>01 - 1 - 62205</t>
  </si>
  <si>
    <t>01 - 1 - 62206</t>
  </si>
  <si>
    <t>01 - 1 - 62207</t>
  </si>
  <si>
    <t>01 - 1 - 62208</t>
  </si>
  <si>
    <t>01 - 1 - 62209</t>
  </si>
  <si>
    <t>01 - 1 - 62210</t>
  </si>
  <si>
    <t>01 - 1 - 62211</t>
  </si>
  <si>
    <t>01 - 1 - 62217</t>
  </si>
  <si>
    <t>01 - 1 - 62220</t>
  </si>
  <si>
    <t>01 - 1 - 62221</t>
  </si>
  <si>
    <t>01 - 1 - 62223</t>
  </si>
  <si>
    <t>01 - 1 - 62242</t>
  </si>
  <si>
    <t>01 - 1 - 62249</t>
  </si>
  <si>
    <t>01 - 1 - 62250</t>
  </si>
  <si>
    <t>01 - 1 - 62256</t>
  </si>
  <si>
    <t>01 - S - 389</t>
  </si>
  <si>
    <t>00235 - RECEITA COM SERVIÇOS -  PRÓPRIO</t>
  </si>
  <si>
    <t>NF</t>
  </si>
  <si>
    <t>01 - 1 - 61638</t>
  </si>
  <si>
    <t>00236 - RECEITAS COM CTE TERCEIROS</t>
  </si>
  <si>
    <t>CTE - FT</t>
  </si>
  <si>
    <t>01 - 1 - 61641</t>
  </si>
  <si>
    <t>ALUMAX EXTRUSAO DE METAIS LTDA</t>
  </si>
  <si>
    <t>01 - 1 - 61642</t>
  </si>
  <si>
    <t>IMERYS DO BRASIL COMERCIO DE EXTRACAO DE MINERIOS LTDA</t>
  </si>
  <si>
    <t>01 - 1 - 61643</t>
  </si>
  <si>
    <t>01 - 1 - 61646</t>
  </si>
  <si>
    <t>01 - 1 - 61647</t>
  </si>
  <si>
    <t>01 - 1 - 61648</t>
  </si>
  <si>
    <t>01 - 1 - 61649</t>
  </si>
  <si>
    <t>01 - 1 - 61650</t>
  </si>
  <si>
    <t>01 - 1 - 61651</t>
  </si>
  <si>
    <t>01 - 1 - 61654</t>
  </si>
  <si>
    <t>01 - 1 - 61656</t>
  </si>
  <si>
    <t>01 - 1 - 61653</t>
  </si>
  <si>
    <t>01 - 1 - 61658</t>
  </si>
  <si>
    <t>LANXESS - IND. PROD. QUIM. PLAST. LTDA.</t>
  </si>
  <si>
    <t>01 - 1 - 61659</t>
  </si>
  <si>
    <t>LANXESS - INDUSTRIA DE PRODUTOS QUIMICOS E PLASTICOS LTDA</t>
  </si>
  <si>
    <t>01 - 1 - 61660</t>
  </si>
  <si>
    <t>01 - 1 - 61662</t>
  </si>
  <si>
    <t>01 - 1 - 61665</t>
  </si>
  <si>
    <t>01 - 1 - 61666</t>
  </si>
  <si>
    <t>01 - 1 - 61663</t>
  </si>
  <si>
    <t>01 - 1 - 61664</t>
  </si>
  <si>
    <t>01 - 1 - 61667</t>
  </si>
  <si>
    <t>METALEX LTDA</t>
  </si>
  <si>
    <t>01 - 1 - 61668</t>
  </si>
  <si>
    <t>01 - 1 - 61669</t>
  </si>
  <si>
    <t>01 - 1 - 61670</t>
  </si>
  <si>
    <t>01 - 1 - 61671</t>
  </si>
  <si>
    <t>01 - 1 - 61677</t>
  </si>
  <si>
    <t>01 - 1 - 61678</t>
  </si>
  <si>
    <t>01 - 1 - 61683</t>
  </si>
  <si>
    <t>01 - 1 - 61684</t>
  </si>
  <si>
    <t>01 - 1 - 61685</t>
  </si>
  <si>
    <t>01 - 1 - 61687</t>
  </si>
  <si>
    <t>ENVALIOR INDUSTRIA DE MATERIAIS DE PERFOMANCE LTDA</t>
  </si>
  <si>
    <t>01 - 1 - 61688</t>
  </si>
  <si>
    <t>01 - 1 - 61689</t>
  </si>
  <si>
    <t>01 - 1 - 61690</t>
  </si>
  <si>
    <t>01 - 1 - 61691</t>
  </si>
  <si>
    <t>01 - 1 - 61693</t>
  </si>
  <si>
    <t>01 - 1 - 61699</t>
  </si>
  <si>
    <t>01 - 1 - 61702</t>
  </si>
  <si>
    <t>01 - 1 - 61705</t>
  </si>
  <si>
    <t>01 - 1 - 61709</t>
  </si>
  <si>
    <t>01 - 1 - 61713</t>
  </si>
  <si>
    <t>01 - 1 - 61714</t>
  </si>
  <si>
    <t>01 - 1 - 61715</t>
  </si>
  <si>
    <t>ALLTAK INDUSTRIA E COMERCIO DE ADESIVOS - LTDA</t>
  </si>
  <si>
    <t>01 - 1 - 61716</t>
  </si>
  <si>
    <t>01 - 1 - 61719</t>
  </si>
  <si>
    <t>01 - 1 - 61721</t>
  </si>
  <si>
    <t>01 - 1 - 61722</t>
  </si>
  <si>
    <t>01 - 1 - 61723</t>
  </si>
  <si>
    <t>01 - 1 - 61724</t>
  </si>
  <si>
    <t>01 - 1 - 61725</t>
  </si>
  <si>
    <t>01 - 1 - 61726</t>
  </si>
  <si>
    <t>01 - 1 - 61728</t>
  </si>
  <si>
    <t>01 - 1 - 61730</t>
  </si>
  <si>
    <t>01 - 1 - 61731</t>
  </si>
  <si>
    <t>01 - 1 - 61733</t>
  </si>
  <si>
    <t>01 - 1 - 61734</t>
  </si>
  <si>
    <t>01 - 1 - 61735</t>
  </si>
  <si>
    <t>01 - 1 - 61737</t>
  </si>
  <si>
    <t>01 - 1 - 61738</t>
  </si>
  <si>
    <t>01 - 1 - 61739</t>
  </si>
  <si>
    <t>01 - 1 - 61740</t>
  </si>
  <si>
    <t>01 - 2 - 1121</t>
  </si>
  <si>
    <t>AMBEV S.A. - EXTREMA</t>
  </si>
  <si>
    <t>01 - 1 - 61741</t>
  </si>
  <si>
    <t>01 - 1 - 61742</t>
  </si>
  <si>
    <t>01 - 1 - 61743</t>
  </si>
  <si>
    <t>01 - 1 - 61744</t>
  </si>
  <si>
    <t>01 - 1 - 61745</t>
  </si>
  <si>
    <t>01 - 1 - 61732</t>
  </si>
  <si>
    <t>01 - 1 - 61751</t>
  </si>
  <si>
    <t>01 - 1 - 61752</t>
  </si>
  <si>
    <t>01 - 1 - 61753</t>
  </si>
  <si>
    <t>01 - 1 - 61755</t>
  </si>
  <si>
    <t>01 - 1 - 61754</t>
  </si>
  <si>
    <t>01 - 1 - 61757</t>
  </si>
  <si>
    <t>01 - 1 - 61758</t>
  </si>
  <si>
    <t>01 - 1 - 61761</t>
  </si>
  <si>
    <t>01 - 1 - 61762</t>
  </si>
  <si>
    <t>01 - 1 - 61763</t>
  </si>
  <si>
    <t>01 - 1 - 61765</t>
  </si>
  <si>
    <t>01 - 1 - 61766</t>
  </si>
  <si>
    <t>01 - 1 - 61767</t>
  </si>
  <si>
    <t>01 - 1 - 61768</t>
  </si>
  <si>
    <t>01 - 1 - 61769</t>
  </si>
  <si>
    <t>01 - 1 - 61773</t>
  </si>
  <si>
    <t>01 - 1 - 61772</t>
  </si>
  <si>
    <t>01 - 1 - 61778</t>
  </si>
  <si>
    <t>01 - 1 - 61779</t>
  </si>
  <si>
    <t>01 - 1 - 61781</t>
  </si>
  <si>
    <t>01 - 1 - 61786</t>
  </si>
  <si>
    <t>01 - 1 - 61787</t>
  </si>
  <si>
    <t>01 - 1 - 61790</t>
  </si>
  <si>
    <t>01 - 1 - 61791</t>
  </si>
  <si>
    <t>01 - 1 - 61792</t>
  </si>
  <si>
    <t>01 - 1 - 61793</t>
  </si>
  <si>
    <t>01 - 1 - 61794</t>
  </si>
  <si>
    <t>01 - 1 - 61795</t>
  </si>
  <si>
    <t>01 - 1 - 61796</t>
  </si>
  <si>
    <t>01 - 1 - 61797</t>
  </si>
  <si>
    <t>01 - 1 - 61798</t>
  </si>
  <si>
    <t>01 - 1 - 61799</t>
  </si>
  <si>
    <t>01 - 1 - 61800</t>
  </si>
  <si>
    <t>01 - 1 - 61801</t>
  </si>
  <si>
    <t>01 - 1 - 61802</t>
  </si>
  <si>
    <t>01 - 1 - 61803</t>
  </si>
  <si>
    <t>01 - 1 - 61804</t>
  </si>
  <si>
    <t>01 - 1 - 61805</t>
  </si>
  <si>
    <t>01 - 1 - 61806</t>
  </si>
  <si>
    <t>01 - 1 - 61807</t>
  </si>
  <si>
    <t>01 - 1 - 61809</t>
  </si>
  <si>
    <t>01 - 1 - 61808</t>
  </si>
  <si>
    <t>CENTAURO EMBALAGENS FLEXXIVEIS LTDA EPP</t>
  </si>
  <si>
    <t>01 - 1 - 61810</t>
  </si>
  <si>
    <t>01 - 1 - 61811</t>
  </si>
  <si>
    <t>01 - 1 - 61812</t>
  </si>
  <si>
    <t>01 - 1 - 61813</t>
  </si>
  <si>
    <t>01 - 1 - 61816</t>
  </si>
  <si>
    <t>01 - 1 - 61817</t>
  </si>
  <si>
    <t>01 - 1 - 61818</t>
  </si>
  <si>
    <t>01 - 1 - 61819</t>
  </si>
  <si>
    <t>01 - 1 - 61820</t>
  </si>
  <si>
    <t>01 - 1 - 61822</t>
  </si>
  <si>
    <t>01 - 1 - 61823</t>
  </si>
  <si>
    <t>01 - 1 - 61824</t>
  </si>
  <si>
    <t>01 - 1 - 61825</t>
  </si>
  <si>
    <t>01 - 1 - 61821</t>
  </si>
  <si>
    <t>01 - 1 - 61826</t>
  </si>
  <si>
    <t>01 - 1 - 61827</t>
  </si>
  <si>
    <t>01 - 1 - 61828</t>
  </si>
  <si>
    <t>01 - 1 - 61829</t>
  </si>
  <si>
    <t>01 - 1 - 61831</t>
  </si>
  <si>
    <t>01 - 1 - 61832</t>
  </si>
  <si>
    <t>01 - 1 - 61833</t>
  </si>
  <si>
    <t>01 - 1 - 61834</t>
  </si>
  <si>
    <t>01 - 1 - 61835</t>
  </si>
  <si>
    <t>01 - 1 - 61836</t>
  </si>
  <si>
    <t>01 - 1 - 61837</t>
  </si>
  <si>
    <t>01 - 1 - 61838</t>
  </si>
  <si>
    <t>COLGATE-PALMOLIVE COMERCIAL LTDA - IMIGRANTES</t>
  </si>
  <si>
    <t>01 - 1 - 61840</t>
  </si>
  <si>
    <t>01 - 1 - 61841</t>
  </si>
  <si>
    <t>01 - 1 - 61842</t>
  </si>
  <si>
    <t>01 - 1 - 61844</t>
  </si>
  <si>
    <t>01 - 1 - 61845</t>
  </si>
  <si>
    <t>01 - 1 - 61847</t>
  </si>
  <si>
    <t>01 - 1 - 61848</t>
  </si>
  <si>
    <t>01 - 1 - 61849</t>
  </si>
  <si>
    <t>01 - 2 - 1122</t>
  </si>
  <si>
    <t>AMBEV S.A. - UNIDADE JAGUARIUNA</t>
  </si>
  <si>
    <t>01 - 1 - 61853</t>
  </si>
  <si>
    <t>01 - 1 - 61854</t>
  </si>
  <si>
    <t>01 - 1 - 61855</t>
  </si>
  <si>
    <t>01 - 1 - 61857</t>
  </si>
  <si>
    <t>01 - 1 - 61858</t>
  </si>
  <si>
    <t>01 - 1 - 61866</t>
  </si>
  <si>
    <t>01 - 1 - 61867</t>
  </si>
  <si>
    <t>01 - 1 - 61868</t>
  </si>
  <si>
    <t>01 - 1 - 61869</t>
  </si>
  <si>
    <t>01 - 1 - 61870</t>
  </si>
  <si>
    <t>01 - 1 - 61871</t>
  </si>
  <si>
    <t>01 - 1 - 61872</t>
  </si>
  <si>
    <t>01 - 1 - 61874</t>
  </si>
  <si>
    <t>01 - 1 - 61875</t>
  </si>
  <si>
    <t>01 - 1 - 61876</t>
  </si>
  <si>
    <t>01 - 1 - 61865</t>
  </si>
  <si>
    <t>01 - 1 - 61880</t>
  </si>
  <si>
    <t>01 - 1 - 61881</t>
  </si>
  <si>
    <t>01 - 1 - 61882</t>
  </si>
  <si>
    <t>01 - 1 - 61883</t>
  </si>
  <si>
    <t>01 - 1 - 61884</t>
  </si>
  <si>
    <t>01 - 1 - 61885</t>
  </si>
  <si>
    <t>01 - 1 - 61886</t>
  </si>
  <si>
    <t>01 - 1 - 61887</t>
  </si>
  <si>
    <t>IND COM GOTTHARD KAESEMODEL S/A</t>
  </si>
  <si>
    <t>01 - 1 - 61888</t>
  </si>
  <si>
    <t>01 - 1 - 61891</t>
  </si>
  <si>
    <t>01 - 1 - 61893</t>
  </si>
  <si>
    <t>01 - 1 - 61894</t>
  </si>
  <si>
    <t>01 - 1 - 61895</t>
  </si>
  <si>
    <t>01 - 1 - 61896</t>
  </si>
  <si>
    <t>01 - 1 - 61897</t>
  </si>
  <si>
    <t>01 - 1 - 61898</t>
  </si>
  <si>
    <t>01 - 1 - 61899</t>
  </si>
  <si>
    <t>01 - 1 - 61902</t>
  </si>
  <si>
    <t>01 - 1 - 61903</t>
  </si>
  <si>
    <t>01 - 1 - 61904</t>
  </si>
  <si>
    <t>01 - 1 - 61905</t>
  </si>
  <si>
    <t>01 - 1 - 61906</t>
  </si>
  <si>
    <t>01 - 1 - 61907</t>
  </si>
  <si>
    <t>COMPANHIA BRASILEIRA DE ALUMINIO - PCA</t>
  </si>
  <si>
    <t>01 - 1 - 61909</t>
  </si>
  <si>
    <t>01 - 1 - 61910</t>
  </si>
  <si>
    <t>01 - 1 - 61911</t>
  </si>
  <si>
    <t>01 - 1 - 61915</t>
  </si>
  <si>
    <t>01 - 1 - 61917</t>
  </si>
  <si>
    <t>01 - 1 - 61918</t>
  </si>
  <si>
    <t>01 - 1 - 61919</t>
  </si>
  <si>
    <t>01 - 1 - 61920</t>
  </si>
  <si>
    <t>01 - 1 - 61921</t>
  </si>
  <si>
    <t>01 - 1 - 61922</t>
  </si>
  <si>
    <t>01 - 1 - 61924</t>
  </si>
  <si>
    <t>01 - 1 - 61923</t>
  </si>
  <si>
    <t>01 - 1 - 61926</t>
  </si>
  <si>
    <t>01 - 1 - 61929</t>
  </si>
  <si>
    <t>01 - 1 - 61932</t>
  </si>
  <si>
    <t>01 - 1 - 61934</t>
  </si>
  <si>
    <t>01 - 1 - 61935</t>
  </si>
  <si>
    <t>01 - 1 - 61938</t>
  </si>
  <si>
    <t>01 - 1 - 61940</t>
  </si>
  <si>
    <t>01 - 1 - 61942</t>
  </si>
  <si>
    <t>01 - 1 - 61943</t>
  </si>
  <si>
    <t>01 - 1 - 61944</t>
  </si>
  <si>
    <t>01 - 1 - 61946</t>
  </si>
  <si>
    <t>01 - 1 - 61947</t>
  </si>
  <si>
    <t>01 - 1 - 61945</t>
  </si>
  <si>
    <t>01 - 1 - 61948</t>
  </si>
  <si>
    <t>01 - 1 - 61951</t>
  </si>
  <si>
    <t>01 - 1 - 61952</t>
  </si>
  <si>
    <t>01 - 1 - 61955</t>
  </si>
  <si>
    <t>01 - 1 - 61953</t>
  </si>
  <si>
    <t>01 - 1 - 61954</t>
  </si>
  <si>
    <t>01 - 1 - 61959</t>
  </si>
  <si>
    <t>01 - 1 - 61962</t>
  </si>
  <si>
    <t>01 - 1 - 61964</t>
  </si>
  <si>
    <t>01 - 1 - 61963</t>
  </si>
  <si>
    <t>01 - 1 - 61965</t>
  </si>
  <si>
    <t>01 - 1 - 61966</t>
  </si>
  <si>
    <t>01 - 1 - 61967</t>
  </si>
  <si>
    <t>01 - 1 - 61968</t>
  </si>
  <si>
    <t>01 - 1 - 61969</t>
  </si>
  <si>
    <t>01 - 1 - 61970</t>
  </si>
  <si>
    <t>01 - 1 - 61971</t>
  </si>
  <si>
    <t>01 - 1 - 61972</t>
  </si>
  <si>
    <t>01 - 1 - 61973</t>
  </si>
  <si>
    <t>01 - 1 - 61974</t>
  </si>
  <si>
    <t>01 - 1 - 61914</t>
  </si>
  <si>
    <t>01 - 1 - 61979</t>
  </si>
  <si>
    <t>01 - 1 - 61980</t>
  </si>
  <si>
    <t>01 - 1 - 61982</t>
  </si>
  <si>
    <t>01 - 1 - 61983</t>
  </si>
  <si>
    <t>01 - 1 - 61975</t>
  </si>
  <si>
    <t>01 - 1 - 61984</t>
  </si>
  <si>
    <t>01 - 1 - 61986</t>
  </si>
  <si>
    <t>01 - 1 - 61987</t>
  </si>
  <si>
    <t>01 - 1 - 61988</t>
  </si>
  <si>
    <t>01 - 1 - 61989</t>
  </si>
  <si>
    <t>01 - 1 - 61991</t>
  </si>
  <si>
    <t>01 - 1 - 61992</t>
  </si>
  <si>
    <t>01 - 1 - 61994</t>
  </si>
  <si>
    <t>01 - 1 - 61995</t>
  </si>
  <si>
    <t>01 - 1 - 61996</t>
  </si>
  <si>
    <t>01 - 1 - 61997</t>
  </si>
  <si>
    <t>01 - 1 - 61998</t>
  </si>
  <si>
    <t>01 - 1 - 61999</t>
  </si>
  <si>
    <t>01 - 1 - 62000</t>
  </si>
  <si>
    <t>01 - 1 - 62001</t>
  </si>
  <si>
    <t>01 - 1 - 62002</t>
  </si>
  <si>
    <t>01 - 1 - 62003</t>
  </si>
  <si>
    <t>01 - 1 - 62004</t>
  </si>
  <si>
    <t>01 - 1 - 62009</t>
  </si>
  <si>
    <t>01 - 1 - 62010</t>
  </si>
  <si>
    <t>01 - 1 - 61993</t>
  </si>
  <si>
    <t>01 - 1 - 62012</t>
  </si>
  <si>
    <t>01 - 1 - 62027</t>
  </si>
  <si>
    <t>01 - 1 - 62026</t>
  </si>
  <si>
    <t>01 - 1 - 62029</t>
  </si>
  <si>
    <t>01 - 1 - 62030</t>
  </si>
  <si>
    <t>01 - 1 - 62031</t>
  </si>
  <si>
    <t>01 - 1 - 62028</t>
  </si>
  <si>
    <t>01 - 1 - 62033</t>
  </si>
  <si>
    <t>01 - 1 - 62034</t>
  </si>
  <si>
    <t>01 - 1 - 62035</t>
  </si>
  <si>
    <t>01 - 1 - 62042</t>
  </si>
  <si>
    <t>01 - 1 - 62043</t>
  </si>
  <si>
    <t>01 - 1 - 62044</t>
  </si>
  <si>
    <t>01 - 1 - 62045</t>
  </si>
  <si>
    <t>01 - 1 - 62046</t>
  </si>
  <si>
    <t>01 - 1 - 62047</t>
  </si>
  <si>
    <t>01 - 1 - 62048</t>
  </si>
  <si>
    <t>01 - 1 - 62049</t>
  </si>
  <si>
    <t>01 - 1 - 62051</t>
  </si>
  <si>
    <t>01 - 1 - 62052</t>
  </si>
  <si>
    <t>01 - 1 - 62053</t>
  </si>
  <si>
    <t>01 - 1 - 62054</t>
  </si>
  <si>
    <t>01 - 1 - 62050</t>
  </si>
  <si>
    <t>Ambev S.A. - Piraí/RJ</t>
  </si>
  <si>
    <t>01 - 1 - 62056</t>
  </si>
  <si>
    <t>01 - 1 - 62057</t>
  </si>
  <si>
    <t>01 - 1 - 62059</t>
  </si>
  <si>
    <t>01 - 1 - 62060</t>
  </si>
  <si>
    <t>01 - 1 - 62058</t>
  </si>
  <si>
    <t>01 - 1 - 62061</t>
  </si>
  <si>
    <t>01 - 1 - 62062</t>
  </si>
  <si>
    <t>01 - 1 - 62063</t>
  </si>
  <si>
    <t>01 - 1 - 62066</t>
  </si>
  <si>
    <t>01 - 1 - 62068</t>
  </si>
  <si>
    <t>01 - 1 - 62069</t>
  </si>
  <si>
    <t>01 - 1 - 62070</t>
  </si>
  <si>
    <t>01 - 1 - 62071</t>
  </si>
  <si>
    <t>01 - 1 - 62072</t>
  </si>
  <si>
    <t>01 - 1 - 62076</t>
  </si>
  <si>
    <t>01 - 1 - 62077</t>
  </si>
  <si>
    <t>01 - 1 - 62078</t>
  </si>
  <si>
    <t>01 - 1 - 62079</t>
  </si>
  <si>
    <t>01 - 1 - 62080</t>
  </si>
  <si>
    <t>01 - 1 - 62082</t>
  </si>
  <si>
    <t>01 - 1 - 62084</t>
  </si>
  <si>
    <t>01 - 1 - 62086</t>
  </si>
  <si>
    <t>01 - 1 - 62087</t>
  </si>
  <si>
    <t>01 - 1 - 62088</t>
  </si>
  <si>
    <t>01 - 1 - 62089</t>
  </si>
  <si>
    <t>01 - 1 - 62090</t>
  </si>
  <si>
    <t>01 - 1 - 62093</t>
  </si>
  <si>
    <t>01 - 1 - 62094</t>
  </si>
  <si>
    <t>01 - 1 - 62095</t>
  </si>
  <si>
    <t>01 - 1 - 62096</t>
  </si>
  <si>
    <t>01 - 1 - 62097</t>
  </si>
  <si>
    <t>01 - 1 - 62099</t>
  </si>
  <si>
    <t>01 - 1 - 62100</t>
  </si>
  <si>
    <t>01 - 1 - 62101</t>
  </si>
  <si>
    <t>01 - 2 - 1123</t>
  </si>
  <si>
    <t>Ambev S.A. - JACAREÍ</t>
  </si>
  <si>
    <t>01 - 2 - 1124</t>
  </si>
  <si>
    <t>AMBEV S.A. - F. JUNDIAI</t>
  </si>
  <si>
    <t>01 - 1 - 62102</t>
  </si>
  <si>
    <t>01 - 1 - 62103</t>
  </si>
  <si>
    <t>01 - 1 - 62105</t>
  </si>
  <si>
    <t>01 - 1 - 62106</t>
  </si>
  <si>
    <t>01 - 1 - 62107</t>
  </si>
  <si>
    <t>01 - 1 - 62108</t>
  </si>
  <si>
    <t>01 - 1 - 62109</t>
  </si>
  <si>
    <t>01 - 1 - 62110</t>
  </si>
  <si>
    <t>01 - 1 - 62111</t>
  </si>
  <si>
    <t>01 - 1 - 62112</t>
  </si>
  <si>
    <t>01 - 1 - 62113</t>
  </si>
  <si>
    <t>01 - 1 - 62114</t>
  </si>
  <si>
    <t>01 - 1 - 62117</t>
  </si>
  <si>
    <t>01 - 1 - 62118</t>
  </si>
  <si>
    <t>01 - 1 - 62119</t>
  </si>
  <si>
    <t>01 - 1 - 62120</t>
  </si>
  <si>
    <t>01 - 1 - 62122</t>
  </si>
  <si>
    <t>01 - 1 - 62123</t>
  </si>
  <si>
    <t>01 - 1 - 62124</t>
  </si>
  <si>
    <t>01 - 1 - 62125</t>
  </si>
  <si>
    <t>01 - 1 - 62126</t>
  </si>
  <si>
    <t>01 - 1 - 62127</t>
  </si>
  <si>
    <t>01 - 1 - 62129</t>
  </si>
  <si>
    <t>01 - 1 - 62132</t>
  </si>
  <si>
    <t>01 - 1 - 62130</t>
  </si>
  <si>
    <t>01 - 1 - 62131</t>
  </si>
  <si>
    <t>01 - 1 - 62133</t>
  </si>
  <si>
    <t>01 - 1 - 62134</t>
  </si>
  <si>
    <t>01 - 1 - 62135</t>
  </si>
  <si>
    <t>SINGULARES IND IMP EXP ARTEFATOS PAPEL L</t>
  </si>
  <si>
    <t>01 - 1 - 62136</t>
  </si>
  <si>
    <t>01 - 1 - 62137</t>
  </si>
  <si>
    <t>01 - 1 - 62138</t>
  </si>
  <si>
    <t>01 - 1 - 62139</t>
  </si>
  <si>
    <t>01 - 1 - 62140</t>
  </si>
  <si>
    <t>01 - 1 - 62141</t>
  </si>
  <si>
    <t>01 - 1 - 62143</t>
  </si>
  <si>
    <t>01 - 1 - 62142</t>
  </si>
  <si>
    <t>01 - 1 - 62144</t>
  </si>
  <si>
    <t>01 - 1 - 62146</t>
  </si>
  <si>
    <t>01 - 1 - 62148</t>
  </si>
  <si>
    <t>01 - 1 - 62149</t>
  </si>
  <si>
    <t>01 - 1 - 62150</t>
  </si>
  <si>
    <t>01 - 1 - 62152</t>
  </si>
  <si>
    <t>01 - 1 - 62153</t>
  </si>
  <si>
    <t>01 - 1 - 62155</t>
  </si>
  <si>
    <t>01 - 1 - 62156</t>
  </si>
  <si>
    <t>01 - 1 - 62158</t>
  </si>
  <si>
    <t>01 - 1 - 62160</t>
  </si>
  <si>
    <t>01 - 1 - 62161</t>
  </si>
  <si>
    <t>01 - 1 - 62162</t>
  </si>
  <si>
    <t>01 - 1 - 62163</t>
  </si>
  <si>
    <t>01 - 1 - 62164</t>
  </si>
  <si>
    <t>01 - 1 - 62165</t>
  </si>
  <si>
    <t>01 - 1 - 62166</t>
  </si>
  <si>
    <t>01 - 1 - 62167</t>
  </si>
  <si>
    <t>01 - 1 - 62168</t>
  </si>
  <si>
    <t>01 - 1 - 62169</t>
  </si>
  <si>
    <t>01 - 1 - 62176</t>
  </si>
  <si>
    <t>01 - 1 - 62177</t>
  </si>
  <si>
    <t>01 - 1 - 62178</t>
  </si>
  <si>
    <t>01 - 1 - 62179</t>
  </si>
  <si>
    <t>01 - 1 - 62180</t>
  </si>
  <si>
    <t>01 - 1 - 62181</t>
  </si>
  <si>
    <t>01 - 1 - 62193</t>
  </si>
  <si>
    <t>01 - 1 - 62194</t>
  </si>
  <si>
    <t>01 - 1 - 62195</t>
  </si>
  <si>
    <t>01 - 1 - 62196</t>
  </si>
  <si>
    <t>01 - 1 - 62197</t>
  </si>
  <si>
    <t>01 - 1 - 62198</t>
  </si>
  <si>
    <t>01 - 1 - 62199</t>
  </si>
  <si>
    <t>01 - 1 - 62200</t>
  </si>
  <si>
    <t>01 - 1 - 62201</t>
  </si>
  <si>
    <t>01 - 1 - 62202</t>
  </si>
  <si>
    <t>01 - 1 - 62203</t>
  </si>
  <si>
    <t>01 - 1 - 62204</t>
  </si>
  <si>
    <t>01 - 1 - 62212</t>
  </si>
  <si>
    <t>01 - 1 - 62213</t>
  </si>
  <si>
    <t>01 - 1 - 62214</t>
  </si>
  <si>
    <t>01 - 1 - 62215</t>
  </si>
  <si>
    <t>01 - 1 - 62216</t>
  </si>
  <si>
    <t>01 - 1 - 62218</t>
  </si>
  <si>
    <t>01 - 1 - 62219</t>
  </si>
  <si>
    <t>01 - 1 - 62222</t>
  </si>
  <si>
    <t>01 - 1 - 62224</t>
  </si>
  <si>
    <t>01 - 1 - 62225</t>
  </si>
  <si>
    <t>01 - 1 - 62226</t>
  </si>
  <si>
    <t>01 - 1 - 62228</t>
  </si>
  <si>
    <t>01 - 1 - 62229</t>
  </si>
  <si>
    <t>01 - 1 - 62227</t>
  </si>
  <si>
    <t>01 - 1 - 62230</t>
  </si>
  <si>
    <t>01 - 1 - 62231</t>
  </si>
  <si>
    <t>01 - 1 - 62232</t>
  </si>
  <si>
    <t>01 - 1 - 62233</t>
  </si>
  <si>
    <t>01 - 1 - 62236</t>
  </si>
  <si>
    <t>01 - 1 - 62235</t>
  </si>
  <si>
    <t>01 - 1 - 62237</t>
  </si>
  <si>
    <t>01 - 1 - 62238</t>
  </si>
  <si>
    <t>01 - 1 - 62239</t>
  </si>
  <si>
    <t>01 - 1 - 62240</t>
  </si>
  <si>
    <t>01 - 1 - 62241</t>
  </si>
  <si>
    <t>01 - 1 - 62243</t>
  </si>
  <si>
    <t>01 - 1 - 62246</t>
  </si>
  <si>
    <t>01 - 1 - 62248</t>
  </si>
  <si>
    <t>01 - 1 - 62245</t>
  </si>
  <si>
    <t>01 - 1 - 62251</t>
  </si>
  <si>
    <t>01 - 1 - 62252</t>
  </si>
  <si>
    <t>01 - 1 - 62253</t>
  </si>
  <si>
    <t>01 - 1 - 62254</t>
  </si>
  <si>
    <t>01 - 1 - 62255</t>
  </si>
  <si>
    <t>01 - 1 - 62257</t>
  </si>
  <si>
    <t>01 - 1 - 62258</t>
  </si>
  <si>
    <t>01 - 1 - 62259</t>
  </si>
  <si>
    <t>01 - 1 - 62244</t>
  </si>
  <si>
    <t>GLOBAL LOGISTICA LTDA</t>
  </si>
  <si>
    <t>01 - 1 - 62260</t>
  </si>
  <si>
    <t>01 - 1 - 62261</t>
  </si>
  <si>
    <t>01 - 1 - 62247</t>
  </si>
  <si>
    <t>01 - 1 - 62263</t>
  </si>
  <si>
    <t>01 - 1 - 62264</t>
  </si>
  <si>
    <t>01 - 1 - 62262</t>
  </si>
  <si>
    <t>01 - 1 - 62265</t>
  </si>
  <si>
    <t>01 - 1 - 62266</t>
  </si>
  <si>
    <t>01 - 1 - 62268</t>
  </si>
  <si>
    <t>01 - 1 - 62267</t>
  </si>
  <si>
    <t>01 - 1 - 62269</t>
  </si>
  <si>
    <t>01 - OST - 1153</t>
  </si>
  <si>
    <t>00237 - RECEITA COM SERVIÇOS - TERCEIROS</t>
  </si>
  <si>
    <t>OST-NF</t>
  </si>
  <si>
    <t>OST</t>
  </si>
  <si>
    <t>01 - OST - 1157</t>
  </si>
  <si>
    <t>UNIPAR</t>
  </si>
  <si>
    <t>LANXESS</t>
  </si>
  <si>
    <t>DATA</t>
  </si>
  <si>
    <t>01 - 2 - 1126</t>
  </si>
  <si>
    <t>01 - 1 - 62270</t>
  </si>
  <si>
    <t>01 - 1 - 62271</t>
  </si>
  <si>
    <t>01 - 1 - 62272</t>
  </si>
  <si>
    <t>01 - 1 - 62273</t>
  </si>
  <si>
    <t>01 - 1 - 62274</t>
  </si>
  <si>
    <t>01 - 1 - 62275</t>
  </si>
  <si>
    <t>01 - 1 - 62276</t>
  </si>
  <si>
    <t>01 - 1 - 62277</t>
  </si>
  <si>
    <t>01 - 1 - 62278</t>
  </si>
  <si>
    <t>01 - 1 - 62279</t>
  </si>
  <si>
    <t>01 - 1 - 62280</t>
  </si>
  <si>
    <t>01 - 1 - 62281</t>
  </si>
  <si>
    <t>01 - 1 - 62282</t>
  </si>
  <si>
    <t>01 - 1 - 62283</t>
  </si>
  <si>
    <t>01 - 1 - 62284</t>
  </si>
  <si>
    <t>01 - 1 - 62285</t>
  </si>
  <si>
    <t>01 - 1 - 62287</t>
  </si>
  <si>
    <t>01 - 1 - 62286</t>
  </si>
  <si>
    <t>01 - 1 - 62288</t>
  </si>
  <si>
    <t>01 - 1 - 62289</t>
  </si>
  <si>
    <t>01 - 1 - 62290</t>
  </si>
  <si>
    <t>01 - 1 - 62291</t>
  </si>
  <si>
    <t>01 - 1 - 62292</t>
  </si>
  <si>
    <t>01 - 1 - 62293</t>
  </si>
  <si>
    <t>01 - 1 - 62294</t>
  </si>
  <si>
    <t>01 - 1 - 62295</t>
  </si>
  <si>
    <t>01 - 1 - 62296</t>
  </si>
  <si>
    <t>01 - 1 - 62297</t>
  </si>
  <si>
    <t>01 - 1 - 62298</t>
  </si>
  <si>
    <t>01 - 2 - 1127</t>
  </si>
  <si>
    <t>01 - 1 - 62299</t>
  </si>
  <si>
    <t>01 - 1 - 62300</t>
  </si>
  <si>
    <t>01 - 1 - 62301</t>
  </si>
  <si>
    <t>01 - 1 - 62302</t>
  </si>
  <si>
    <t>01 - 1 - 62303</t>
  </si>
  <si>
    <t>01 - 1 - 62304</t>
  </si>
  <si>
    <t>01 - 1 - 62306</t>
  </si>
  <si>
    <t>01 - 1 - 62307</t>
  </si>
  <si>
    <t>01 - 1 - 62308</t>
  </si>
  <si>
    <t>01 - 1 - 62310</t>
  </si>
  <si>
    <t>01 - 1 - 62311</t>
  </si>
  <si>
    <t>01 - 1 - 62309</t>
  </si>
  <si>
    <t>01 - 1 - 62312</t>
  </si>
  <si>
    <t>01 - 1 - 62313</t>
  </si>
  <si>
    <t>01 - 1 - 62314</t>
  </si>
  <si>
    <t>01 - 1 - 62316</t>
  </si>
  <si>
    <t>01 - 1 - 62318</t>
  </si>
  <si>
    <t>01 - 1 - 62319</t>
  </si>
  <si>
    <t>01 - 1 - 62317</t>
  </si>
  <si>
    <t>01 - 1 - 62320</t>
  </si>
  <si>
    <t>01 - 1 - 62321</t>
  </si>
  <si>
    <t>01 - 1 - 62322</t>
  </si>
  <si>
    <t>01 - 1 - 62323</t>
  </si>
  <si>
    <t>01 - 1 - 62324</t>
  </si>
  <si>
    <t>01 - 2 - 1128</t>
  </si>
  <si>
    <t>01 - 2 - 1129</t>
  </si>
  <si>
    <t>01 - 1 - 62325</t>
  </si>
  <si>
    <t>01 - 1 - 62326</t>
  </si>
  <si>
    <t>01 - 1 - 62327</t>
  </si>
  <si>
    <t>01 - 1 - 62328</t>
  </si>
  <si>
    <t>01 - 1 - 62329</t>
  </si>
  <si>
    <t>01 - 1 - 62330</t>
  </si>
  <si>
    <t>01 - 1 - 62331</t>
  </si>
  <si>
    <t>01 - 1 - 62332</t>
  </si>
  <si>
    <t>01 - 1 - 62333</t>
  </si>
  <si>
    <t>01 - 1 - 62334</t>
  </si>
  <si>
    <t>01 - 1 - 62335</t>
  </si>
  <si>
    <t>01 - 1 - 62336</t>
  </si>
  <si>
    <t>01 - 1 - 62337</t>
  </si>
  <si>
    <t>01 - 2 - 1130</t>
  </si>
  <si>
    <t>AMBEV S.A. F. CUIABA</t>
  </si>
  <si>
    <t>01 - 1 - 62339</t>
  </si>
  <si>
    <t>01 - 1 - 62338</t>
  </si>
  <si>
    <t>01 - 1 - 62340</t>
  </si>
  <si>
    <t>01 - 1 - 62341</t>
  </si>
  <si>
    <t>01 - 2 - 1131</t>
  </si>
  <si>
    <t>F.CDR.CAMACARI-DC - Ambev</t>
  </si>
  <si>
    <t>01 - 2 - 1132</t>
  </si>
  <si>
    <t>01 - 1 - 62342</t>
  </si>
  <si>
    <t>01 - 1 - 62343</t>
  </si>
  <si>
    <t>01 - 1 - 62344</t>
  </si>
  <si>
    <t>01 - 1 - 62345</t>
  </si>
  <si>
    <t>01 - 1 - 62346</t>
  </si>
  <si>
    <t>01 - 1 - 62347</t>
  </si>
  <si>
    <t>01 - 1 - 62348</t>
  </si>
  <si>
    <t>01 - 1 - 62349</t>
  </si>
  <si>
    <t>01 - 1 - 62350</t>
  </si>
  <si>
    <t>01 - 1 - 62351</t>
  </si>
  <si>
    <t>01 - 1 - 62353</t>
  </si>
  <si>
    <t>01 - 1 - 62352</t>
  </si>
  <si>
    <t>01 - 1 - 62355</t>
  </si>
  <si>
    <t>01 - 1 - 62356</t>
  </si>
  <si>
    <t>01 - 1 - 62357</t>
  </si>
  <si>
    <t>01 - 1 - 62358</t>
  </si>
  <si>
    <t>01 - 1 - 62359</t>
  </si>
  <si>
    <t>GD TRANSPORTES E LOGÍSTICA LTDA</t>
  </si>
  <si>
    <t>01 - 2 - 1133</t>
  </si>
  <si>
    <t>01 - 1 - 62360</t>
  </si>
  <si>
    <t>01 - 1 - 62361</t>
  </si>
  <si>
    <t>01 - 2 - 1134</t>
  </si>
  <si>
    <t>01 - 2 - 1135</t>
  </si>
  <si>
    <t>01 - 1 - 62362</t>
  </si>
  <si>
    <t>01 - 1 - 62363</t>
  </si>
  <si>
    <t>01 - 1 - 62364</t>
  </si>
  <si>
    <t>01 - 1 - 62365</t>
  </si>
  <si>
    <t>01 - 1 - 62366</t>
  </si>
  <si>
    <t>01 - 1 - 62367</t>
  </si>
  <si>
    <t>01 - 1 - 62368</t>
  </si>
  <si>
    <t>01 - 1 - 62369</t>
  </si>
  <si>
    <t>01 - 1 - 62370</t>
  </si>
  <si>
    <t>01 - 1 - 62371</t>
  </si>
  <si>
    <t>01 - 1 - 62372</t>
  </si>
  <si>
    <t>01 - 1 - 62373</t>
  </si>
  <si>
    <t>01 - 1 - 62374</t>
  </si>
  <si>
    <t>01 - 1 - 62375</t>
  </si>
  <si>
    <t>01 - 1 - 62376</t>
  </si>
  <si>
    <t>01 - 1 - 62377</t>
  </si>
  <si>
    <t>OLIVEIRA NEPOMUCENO TRANSPORTES E LOGISTICA</t>
  </si>
  <si>
    <t>01 - 1 - 62378</t>
  </si>
  <si>
    <t>01 - 1 - 62379</t>
  </si>
  <si>
    <t>01 - 1 - 62380</t>
  </si>
  <si>
    <t>01 - 1 - 62381</t>
  </si>
  <si>
    <t>01 - 1 - 62382</t>
  </si>
  <si>
    <t>01 - 1 - 62383</t>
  </si>
  <si>
    <t>01 - 1 - 62384</t>
  </si>
  <si>
    <t>01 - 1 - 62385</t>
  </si>
  <si>
    <t>01 - 1 - 62386</t>
  </si>
  <si>
    <t>01 - 1 - 62387</t>
  </si>
  <si>
    <t>01 - 1 - 62388</t>
  </si>
  <si>
    <t>01 - 1 - 62389</t>
  </si>
  <si>
    <t>01 - 1 - 62390</t>
  </si>
  <si>
    <t>01 - 1 - 62391</t>
  </si>
  <si>
    <t>01 - 1 - 62392</t>
  </si>
  <si>
    <t>01 - 1 - 62393</t>
  </si>
  <si>
    <t>01 - 1 - 62394</t>
  </si>
  <si>
    <t>01 - 1 - 62395</t>
  </si>
  <si>
    <t>01 - 1 - 62396</t>
  </si>
  <si>
    <t>01 - 1 - 62397</t>
  </si>
  <si>
    <t>01 - 1 - 62398</t>
  </si>
  <si>
    <t>01 - 2 - 1136</t>
  </si>
  <si>
    <t>01 - 2 - 1137</t>
  </si>
  <si>
    <t>01 - 2 - 1138</t>
  </si>
  <si>
    <t>01 - 1 - 62399</t>
  </si>
  <si>
    <t>01 - 1 - 62400</t>
  </si>
  <si>
    <t>01 - 1 - 62401</t>
  </si>
  <si>
    <t>01 - 1 - 62402</t>
  </si>
  <si>
    <t>01 - 1 - 62403</t>
  </si>
  <si>
    <t>01 - 1 - 62404</t>
  </si>
  <si>
    <t>01 - 1 - 62405</t>
  </si>
  <si>
    <t>01 - 1 - 62406</t>
  </si>
  <si>
    <t>01 - 1 - 62407</t>
  </si>
  <si>
    <t>01 - 1 - 62408</t>
  </si>
  <si>
    <t>01 - 1 - 62409</t>
  </si>
  <si>
    <t>01 - 1 - 62410</t>
  </si>
  <si>
    <t>01 - 1 - 62411</t>
  </si>
  <si>
    <t>01 - 1 - 62412</t>
  </si>
  <si>
    <t>01 - 1 - 62413</t>
  </si>
  <si>
    <t>01 - 1 - 62414</t>
  </si>
  <si>
    <t>01 - 1 - 62415</t>
  </si>
  <si>
    <t>01 - 1 - 62416</t>
  </si>
  <si>
    <t>01 - 1 - 62417</t>
  </si>
  <si>
    <t>01 - 1 - 62418</t>
  </si>
  <si>
    <t>01 - 2 - 1139</t>
  </si>
  <si>
    <t>01 - 1 - 62419</t>
  </si>
  <si>
    <t>01 - 2 - 1140</t>
  </si>
  <si>
    <t>01 - 2 - 1141</t>
  </si>
  <si>
    <t>01 - 2 - 1142</t>
  </si>
  <si>
    <t>01 - 1 - 62420</t>
  </si>
  <si>
    <t>01 - 1 - 62421</t>
  </si>
  <si>
    <t>01 - 1 - 62422</t>
  </si>
  <si>
    <t>01 - 2 - 1143</t>
  </si>
  <si>
    <t>01 - 1 - 62424</t>
  </si>
  <si>
    <t>01 - 1 - 62425</t>
  </si>
  <si>
    <t>01 - 1 - 62426</t>
  </si>
  <si>
    <t>01 - 2 - 1144</t>
  </si>
  <si>
    <t>01 - 1 - 62427</t>
  </si>
  <si>
    <t>01 - 2 - 1145</t>
  </si>
  <si>
    <t>01 - 1 - 62428</t>
  </si>
  <si>
    <t>01 - 1 - 62429</t>
  </si>
  <si>
    <t>01 - 1 - 62430</t>
  </si>
  <si>
    <t>01 - 2 - 1146</t>
  </si>
  <si>
    <t>01 - 1 - 62432</t>
  </si>
  <si>
    <t>01 - 1 - 62431</t>
  </si>
  <si>
    <t>01 - 1 - 62433</t>
  </si>
  <si>
    <t>01 - 1 - 62434</t>
  </si>
  <si>
    <t>01 - 1 - 62435</t>
  </si>
  <si>
    <t>01 - 1 - 62436</t>
  </si>
  <si>
    <t>01 - 1 - 62437</t>
  </si>
  <si>
    <t>01 - 1 - 62423</t>
  </si>
  <si>
    <t>01 - 1 - 62438</t>
  </si>
  <si>
    <t>01 - 1 - 62439</t>
  </si>
  <si>
    <t>01 - 1 - 62440</t>
  </si>
  <si>
    <t>01 - 1 - 62441</t>
  </si>
  <si>
    <t>01 - 1 - 62442</t>
  </si>
  <si>
    <t>01 - 1 - 62443</t>
  </si>
  <si>
    <t>01 - 2 - 1147</t>
  </si>
  <si>
    <t>01 - 2 - 1148</t>
  </si>
  <si>
    <t>01 - 1 - 62444</t>
  </si>
  <si>
    <t>01 - 1 - 62445</t>
  </si>
  <si>
    <t>01 - 1 - 62446</t>
  </si>
  <si>
    <t>01 - 2 - 1149</t>
  </si>
  <si>
    <t>01 - 1 - 62447</t>
  </si>
  <si>
    <t>01 - 1 - 62448</t>
  </si>
  <si>
    <t>01 - 1 - 62450</t>
  </si>
  <si>
    <t>01 - 1 - 62451</t>
  </si>
  <si>
    <t>01 - 1 - 62452</t>
  </si>
  <si>
    <t>01 - 1 - 62453</t>
  </si>
  <si>
    <t>01 - 1 - 62454</t>
  </si>
  <si>
    <t>01 - 1 - 62455</t>
  </si>
  <si>
    <t>01 - 1 - 62456</t>
  </si>
  <si>
    <t>01 - 1 - 62457</t>
  </si>
  <si>
    <t>01 - 1 - 62458</t>
  </si>
  <si>
    <t>01 - 1 - 62459</t>
  </si>
  <si>
    <t>01 - 1 - 62460</t>
  </si>
  <si>
    <t>01 - 1 - 62461</t>
  </si>
  <si>
    <t>01 - 1 - 62462</t>
  </si>
  <si>
    <t>01 - 1 - 62463</t>
  </si>
  <si>
    <t>01 - 1 - 62464</t>
  </si>
  <si>
    <t>01 - 2 - 1151</t>
  </si>
  <si>
    <t>01 - 1 - 62465</t>
  </si>
  <si>
    <t>01 - 1 - 62466</t>
  </si>
  <si>
    <t>01 - 1 - 62467</t>
  </si>
  <si>
    <t>01 - 1 - 62468</t>
  </si>
  <si>
    <t>01 - 2 - 1153</t>
  </si>
  <si>
    <t>01 - 1 - 62469</t>
  </si>
  <si>
    <t>01 - 1 - 62470</t>
  </si>
  <si>
    <t>01 - 1 - 62471</t>
  </si>
  <si>
    <t>01 - 1 - 62472</t>
  </si>
  <si>
    <t>01 - 1 - 62473</t>
  </si>
  <si>
    <t>01 - 1 - 62474</t>
  </si>
  <si>
    <t>01 - 1 - 62475</t>
  </si>
  <si>
    <t>01 - 1 - 62476</t>
  </si>
  <si>
    <t>01 - 1 - 62477</t>
  </si>
  <si>
    <t>01 - 1 - 62478</t>
  </si>
  <si>
    <t>01 - 1 - 62480</t>
  </si>
  <si>
    <t>BRAVO SERVIÇOS LOGISTICOS LTDA</t>
  </si>
  <si>
    <t>01 - 1 - 62479</t>
  </si>
  <si>
    <t>01 - 1 - 62481</t>
  </si>
  <si>
    <t>01 - 1 - 62482</t>
  </si>
  <si>
    <t>01 - 1 - 62484</t>
  </si>
  <si>
    <t>01 - 1 - 62483</t>
  </si>
  <si>
    <t>01 - 1 - 62485</t>
  </si>
  <si>
    <t>01 - 1 - 62486</t>
  </si>
  <si>
    <t>01 - 1 - 62487</t>
  </si>
  <si>
    <t>01 - 2 - 1154</t>
  </si>
  <si>
    <t>01 - 1 - 62488</t>
  </si>
  <si>
    <t>01 - 1 - 62489</t>
  </si>
  <si>
    <t>01 - 2 - 1155</t>
  </si>
  <si>
    <t>AMBEV S.A. - Camaçari/BA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</si>
</sst>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Calibri"/>
      <family val="2"/>
    </font>
    <font>
      <b/>
      <sz val="8"/>
      <color theme="0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15" fontId="0" fillId="0" borderId="0" xfId="0" applyNumberFormat="1" applyAlignment="1">
      <alignment vertical="center"/>
    </xf>
    <xf numFmtId="15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5" fontId="0" fillId="2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5" fontId="1" fillId="3" borderId="0" xfId="0" applyNumberFormat="1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Indicadores/Tabelas%20de%20Apoio%20BI/BD%20Clientes%20e%20Filiais.xlsx" TargetMode="External"/><Relationship Id="rId2" Type="http://schemas.openxmlformats.org/officeDocument/2006/relationships/externalLinkPath" Target="file:///C:\Users\Leandro\Documents\Indicadores\Tabelas%20de%20Apoio%20BI\BD%20Clientes%20e%20Filiais.xlsx" TargetMode="External"/><Relationship Id="rId1" Type="http://schemas.openxmlformats.org/officeDocument/2006/relationships/externalLinkPath" Target="/Users/Leandro/Documents/Indicadores/Tabelas%20de%20Apoio%20BI/BD%20Clientes%20e%20Filia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lientes"/>
      <sheetName val="Clientes 605"/>
      <sheetName val="Filiais"/>
      <sheetName val="Observações"/>
      <sheetName val="Clientes Cópia"/>
    </sheetNames>
    <sheetDataSet>
      <sheetData sheetId="0">
        <row r="1">
          <cell r="C1" t="str">
            <v>CLIENTE ORIGEM</v>
          </cell>
          <cell r="D1" t="str">
            <v>PRINCIPAIS CLIENTES</v>
          </cell>
          <cell r="E1" t="str">
            <v>PRINCIPAIS CLIENTES SUB</v>
          </cell>
          <cell r="F1" t="str">
            <v>CLIENTE AJUSTADO</v>
          </cell>
          <cell r="G1" t="str">
            <v>CLIENTES FAT</v>
          </cell>
          <cell r="H1" t="str">
            <v>PRINCIPAIS CLIENTES FAT</v>
          </cell>
        </row>
        <row r="2">
          <cell r="C2" t="str">
            <v>CBA</v>
          </cell>
          <cell r="D2" t="str">
            <v>CBA</v>
          </cell>
          <cell r="E2" t="str">
            <v>CBA</v>
          </cell>
          <cell r="F2" t="str">
            <v>CBA</v>
          </cell>
          <cell r="G2" t="str">
            <v>CBA</v>
          </cell>
          <cell r="H2" t="str">
            <v>CBA</v>
          </cell>
        </row>
        <row r="3">
          <cell r="C3" t="str">
            <v>UNIPAR INDUPA DO BRA</v>
          </cell>
          <cell r="D3" t="str">
            <v>UNIPAR</v>
          </cell>
          <cell r="E3" t="str">
            <v>UNIPAR</v>
          </cell>
          <cell r="F3" t="str">
            <v>UNIPAR</v>
          </cell>
          <cell r="G3" t="str">
            <v>UNIPAR</v>
          </cell>
          <cell r="H3" t="str">
            <v>UNIPAR</v>
          </cell>
        </row>
        <row r="4">
          <cell r="C4" t="str">
            <v>BRAVO LOG SERVICOS LOGISTICOS LTDA</v>
          </cell>
          <cell r="D4" t="str">
            <v>AGRO</v>
          </cell>
          <cell r="E4" t="str">
            <v>OUTROS</v>
          </cell>
          <cell r="F4" t="str">
            <v>BRAVO</v>
          </cell>
          <cell r="G4" t="str">
            <v>BRAVO</v>
          </cell>
          <cell r="H4" t="str">
            <v>OUTROS</v>
          </cell>
        </row>
        <row r="5">
          <cell r="C5" t="str">
            <v>BRAVO SERVIÇOS LOGISTICOS LTDA</v>
          </cell>
          <cell r="D5" t="str">
            <v>AGRO</v>
          </cell>
          <cell r="E5" t="str">
            <v>OUTROS</v>
          </cell>
          <cell r="F5" t="str">
            <v>BRAVO</v>
          </cell>
          <cell r="G5" t="str">
            <v>BRAVO</v>
          </cell>
          <cell r="H5" t="str">
            <v>OUTROS</v>
          </cell>
        </row>
        <row r="6">
          <cell r="C6" t="str">
            <v>BRACELL SP CELULOSE LTDA</v>
          </cell>
          <cell r="D6" t="str">
            <v>OUTROS</v>
          </cell>
          <cell r="E6" t="str">
            <v>OUTROS</v>
          </cell>
          <cell r="F6" t="str">
            <v>BRACELL</v>
          </cell>
          <cell r="G6" t="str">
            <v>BRACELL</v>
          </cell>
          <cell r="H6" t="str">
            <v>OUTROS</v>
          </cell>
        </row>
        <row r="7">
          <cell r="C7" t="str">
            <v>MOGIAGRO LOG E TRANSPORTES LTDA</v>
          </cell>
          <cell r="D7" t="str">
            <v>AGRO</v>
          </cell>
          <cell r="E7" t="str">
            <v>OUTROS</v>
          </cell>
          <cell r="F7" t="str">
            <v>MOGIAGRO</v>
          </cell>
          <cell r="G7" t="str">
            <v>OUTROS</v>
          </cell>
          <cell r="H7" t="str">
            <v>OUTROS</v>
          </cell>
        </row>
        <row r="8">
          <cell r="C8" t="str">
            <v>FRIBON TRANSPORTES LTDA</v>
          </cell>
          <cell r="D8" t="str">
            <v>AGRO</v>
          </cell>
          <cell r="E8" t="str">
            <v>OUTROS</v>
          </cell>
          <cell r="F8" t="str">
            <v>FRIBON TRANSPORTES</v>
          </cell>
          <cell r="G8" t="str">
            <v>OUTROS</v>
          </cell>
          <cell r="H8" t="str">
            <v>OUTROS</v>
          </cell>
        </row>
        <row r="9">
          <cell r="C9" t="str">
            <v>NELORE TRANSPORTE E COMERCIO DE GADO LTDA</v>
          </cell>
          <cell r="D9" t="str">
            <v>AGRO</v>
          </cell>
          <cell r="E9" t="str">
            <v>OUTROS</v>
          </cell>
          <cell r="F9" t="str">
            <v>NELORE</v>
          </cell>
          <cell r="G9" t="str">
            <v>OUTROS</v>
          </cell>
          <cell r="H9" t="str">
            <v>OUTROS</v>
          </cell>
        </row>
        <row r="10">
          <cell r="C10" t="str">
            <v>ELDORADO BRASIL CELULOSE S/A</v>
          </cell>
          <cell r="D10" t="str">
            <v>OUTROS</v>
          </cell>
          <cell r="E10" t="str">
            <v>OUTROS</v>
          </cell>
          <cell r="F10" t="str">
            <v>ELDORADO</v>
          </cell>
          <cell r="G10" t="str">
            <v>ELDORADO</v>
          </cell>
          <cell r="H10" t="str">
            <v>OUTROS</v>
          </cell>
        </row>
        <row r="11">
          <cell r="C11" t="str">
            <v>LANXESS - INDUSTRIA DE PRODUTOS QUIMICOS E PLASTIC</v>
          </cell>
          <cell r="D11" t="str">
            <v>OUTROS</v>
          </cell>
          <cell r="E11" t="str">
            <v>LANXESS</v>
          </cell>
          <cell r="F11" t="str">
            <v>LANXESS</v>
          </cell>
          <cell r="G11" t="str">
            <v>LANXESS</v>
          </cell>
          <cell r="H11" t="str">
            <v>LANXESS</v>
          </cell>
        </row>
        <row r="12">
          <cell r="C12" t="str">
            <v>REFINARIA DE SAL GARÇA LTDA</v>
          </cell>
          <cell r="D12" t="str">
            <v>OUTROS</v>
          </cell>
          <cell r="E12" t="str">
            <v>OUTROS</v>
          </cell>
          <cell r="F12" t="str">
            <v>REFINARIA DE SAL GARÇA</v>
          </cell>
          <cell r="G12" t="str">
            <v>OUTROS</v>
          </cell>
          <cell r="H12" t="str">
            <v>OUTROS</v>
          </cell>
        </row>
        <row r="13">
          <cell r="C13" t="str">
            <v>LANXESS - IND. PROD.</v>
          </cell>
          <cell r="D13" t="str">
            <v>OUTROS</v>
          </cell>
          <cell r="E13" t="str">
            <v>LANXESS</v>
          </cell>
          <cell r="F13" t="str">
            <v>LANXESS</v>
          </cell>
          <cell r="G13" t="str">
            <v>LANXESS</v>
          </cell>
          <cell r="H13" t="str">
            <v>LANXESS</v>
          </cell>
        </row>
        <row r="14">
          <cell r="C14" t="str">
            <v>SANPLAST INDUSTRIA E COMERCIO DE PRODUTOS RECICLAV</v>
          </cell>
          <cell r="D14" t="str">
            <v>OUTROS</v>
          </cell>
          <cell r="E14" t="str">
            <v>OUTROS</v>
          </cell>
          <cell r="F14" t="str">
            <v>SANPLAST</v>
          </cell>
          <cell r="G14" t="str">
            <v>OUTROS</v>
          </cell>
          <cell r="H14" t="str">
            <v>OUTROS</v>
          </cell>
        </row>
        <row r="15">
          <cell r="C15" t="str">
            <v>MEXTRA ENGENHARIA EXTRATIVA DE METAIS EIRELI</v>
          </cell>
          <cell r="D15" t="str">
            <v>OUTROS</v>
          </cell>
          <cell r="E15" t="str">
            <v>OUTROS</v>
          </cell>
          <cell r="F15" t="str">
            <v>MEXTRA</v>
          </cell>
          <cell r="G15" t="str">
            <v>OUTROS</v>
          </cell>
          <cell r="H15" t="str">
            <v>OUTROS</v>
          </cell>
        </row>
        <row r="16">
          <cell r="C16" t="str">
            <v>BRAVO SERVIÇOS LOGISTICA LTDA</v>
          </cell>
          <cell r="D16" t="str">
            <v>AGRO</v>
          </cell>
          <cell r="E16" t="str">
            <v>OUTROS</v>
          </cell>
          <cell r="F16" t="str">
            <v>BRAVO</v>
          </cell>
          <cell r="G16" t="str">
            <v>BRAVO</v>
          </cell>
          <cell r="H16" t="str">
            <v>OUTROS</v>
          </cell>
        </row>
        <row r="17">
          <cell r="C17" t="str">
            <v>G10 TRANSPORTES LTDA</v>
          </cell>
          <cell r="D17" t="str">
            <v>AGRO</v>
          </cell>
          <cell r="E17" t="str">
            <v>OUTROS</v>
          </cell>
          <cell r="F17" t="str">
            <v>G10 TRANSPORTES</v>
          </cell>
          <cell r="G17" t="str">
            <v>G10 TRANSPORTES</v>
          </cell>
          <cell r="H17" t="str">
            <v>OUTROS</v>
          </cell>
        </row>
        <row r="18">
          <cell r="C18" t="str">
            <v>COMPASS MINERALS</v>
          </cell>
          <cell r="D18" t="str">
            <v>OUTROS</v>
          </cell>
          <cell r="E18" t="str">
            <v>OUTROS</v>
          </cell>
          <cell r="F18" t="str">
            <v>COMPASS MINERALS</v>
          </cell>
          <cell r="G18" t="str">
            <v>COMPASS MINERALS</v>
          </cell>
          <cell r="H18" t="str">
            <v>OUTROS</v>
          </cell>
        </row>
        <row r="19">
          <cell r="C19" t="str">
            <v>CAED LOGISTICA E TRANSPORTES LTDA</v>
          </cell>
          <cell r="D19" t="str">
            <v>AGRO</v>
          </cell>
          <cell r="E19" t="str">
            <v>OUTROS</v>
          </cell>
          <cell r="F19" t="str">
            <v>CAED LOGÍSTICA</v>
          </cell>
          <cell r="G19" t="str">
            <v>OUTROS</v>
          </cell>
          <cell r="H19" t="str">
            <v>OUTROS</v>
          </cell>
        </row>
        <row r="20">
          <cell r="C20" t="str">
            <v>MOREIRA &amp; PIETREK LTDA ME</v>
          </cell>
          <cell r="D20" t="str">
            <v>OUTROS</v>
          </cell>
          <cell r="E20" t="str">
            <v>OUTROS</v>
          </cell>
          <cell r="F20" t="str">
            <v>MOREIRA &amp; PIETREK</v>
          </cell>
          <cell r="G20" t="str">
            <v>OUTROS</v>
          </cell>
          <cell r="H20" t="str">
            <v>OUTROS</v>
          </cell>
        </row>
        <row r="21">
          <cell r="C21" t="str">
            <v>UNIPAR INDUPA DO BRASIL S/A</v>
          </cell>
          <cell r="D21" t="str">
            <v>UNIPAR</v>
          </cell>
          <cell r="E21" t="str">
            <v>UNIPAR</v>
          </cell>
          <cell r="F21" t="str">
            <v>UNIPAR</v>
          </cell>
          <cell r="G21" t="str">
            <v>UNIPAR</v>
          </cell>
          <cell r="H21" t="str">
            <v>UNIPAR</v>
          </cell>
        </row>
        <row r="22">
          <cell r="C22" t="str">
            <v>SUMITOMO CHEMICAL DO BRASIL REPRESENTACOES LTDA</v>
          </cell>
          <cell r="D22" t="str">
            <v>OUTROS</v>
          </cell>
          <cell r="E22" t="str">
            <v>OUTROS</v>
          </cell>
          <cell r="F22" t="str">
            <v>SUMITOMO</v>
          </cell>
          <cell r="G22" t="str">
            <v>SUMITOMO</v>
          </cell>
          <cell r="H22" t="str">
            <v>OUTROS</v>
          </cell>
        </row>
        <row r="23">
          <cell r="C23" t="str">
            <v>MULTIVERDE PAPEIS ESPECIAIS LTDA</v>
          </cell>
          <cell r="D23" t="str">
            <v>OUTROS</v>
          </cell>
          <cell r="E23" t="str">
            <v>OUTROS</v>
          </cell>
          <cell r="F23" t="str">
            <v>MULTIVERDE</v>
          </cell>
          <cell r="G23" t="str">
            <v>MULTIVERDE</v>
          </cell>
          <cell r="H23" t="str">
            <v>OUTROS</v>
          </cell>
        </row>
        <row r="24">
          <cell r="C24" t="str">
            <v>ULLIAN ESQUADRIAS ME</v>
          </cell>
          <cell r="D24" t="str">
            <v>OUTROS</v>
          </cell>
          <cell r="E24" t="str">
            <v>OUTROS</v>
          </cell>
          <cell r="F24" t="str">
            <v>ULLIAN ESQUADRIAS</v>
          </cell>
          <cell r="G24" t="str">
            <v>OUTROS</v>
          </cell>
          <cell r="H24" t="str">
            <v>OUTROS</v>
          </cell>
        </row>
        <row r="25">
          <cell r="C25" t="str">
            <v>SUMITOMO CHEMICAL BR</v>
          </cell>
          <cell r="D25" t="str">
            <v>OUTROS</v>
          </cell>
          <cell r="E25" t="str">
            <v>OUTROS</v>
          </cell>
          <cell r="F25" t="str">
            <v>SUMITOMO</v>
          </cell>
          <cell r="G25" t="str">
            <v>SUMITOMO</v>
          </cell>
          <cell r="H25" t="str">
            <v>OUTROS</v>
          </cell>
        </row>
        <row r="26">
          <cell r="C26" t="str">
            <v>FATEX INDUSTRIAL, COMERCIAL, IMPORTACAO E EXPORTAC</v>
          </cell>
          <cell r="D26" t="str">
            <v>OUTROS</v>
          </cell>
          <cell r="E26" t="str">
            <v>OUTROS</v>
          </cell>
          <cell r="F26" t="str">
            <v>FATEX INDUSTRIAL</v>
          </cell>
          <cell r="G26" t="str">
            <v>OUTROS</v>
          </cell>
          <cell r="H26" t="str">
            <v>OUTROS</v>
          </cell>
        </row>
        <row r="27">
          <cell r="C27" t="str">
            <v>YNOVA TRANSPORTES E LOGISTICA LTDA ME</v>
          </cell>
          <cell r="D27" t="str">
            <v>AGRO</v>
          </cell>
          <cell r="E27" t="str">
            <v>OUTROS</v>
          </cell>
          <cell r="F27" t="str">
            <v>YNOVA</v>
          </cell>
          <cell r="G27" t="str">
            <v>OUTROS</v>
          </cell>
          <cell r="H27" t="str">
            <v>OUTROS</v>
          </cell>
        </row>
        <row r="28">
          <cell r="C28" t="str">
            <v>G M C TRANSPORTES E LOGISTICA LTDA</v>
          </cell>
          <cell r="D28" t="str">
            <v>OUTROS</v>
          </cell>
          <cell r="E28" t="str">
            <v>OUTROS</v>
          </cell>
          <cell r="F28" t="str">
            <v>GMC TRANSPORTES</v>
          </cell>
          <cell r="G28" t="str">
            <v>GMC TRANSPORTES</v>
          </cell>
          <cell r="H28" t="str">
            <v>OUTROS</v>
          </cell>
        </row>
        <row r="29">
          <cell r="C29" t="str">
            <v>SAFRALOG</v>
          </cell>
          <cell r="D29" t="str">
            <v>AGRO</v>
          </cell>
          <cell r="E29" t="str">
            <v>OUTROS</v>
          </cell>
          <cell r="F29" t="str">
            <v>SAFRALOG</v>
          </cell>
          <cell r="G29" t="str">
            <v>OUTROS</v>
          </cell>
          <cell r="H29" t="str">
            <v>OUTROS</v>
          </cell>
        </row>
        <row r="30">
          <cell r="C30" t="str">
            <v>GIL TRANSPORTES RODOVIARIO LTDA</v>
          </cell>
          <cell r="D30" t="str">
            <v>OUTROS</v>
          </cell>
          <cell r="E30" t="str">
            <v>OUTROS</v>
          </cell>
          <cell r="F30" t="str">
            <v>GIL TRANSPORTES</v>
          </cell>
          <cell r="G30" t="str">
            <v>OUTROS</v>
          </cell>
          <cell r="H30" t="str">
            <v>OUTROS</v>
          </cell>
        </row>
        <row r="31">
          <cell r="C31" t="str">
            <v>POZZER TRANSPORTES RODOVIARIOS DE CARGAS LTDA</v>
          </cell>
          <cell r="D31" t="str">
            <v>AGRO</v>
          </cell>
          <cell r="E31" t="str">
            <v>OUTROS</v>
          </cell>
          <cell r="F31" t="str">
            <v>POZZER TRANSPORTES</v>
          </cell>
          <cell r="G31" t="str">
            <v>OUTROS</v>
          </cell>
          <cell r="H31" t="str">
            <v>OUTROS</v>
          </cell>
        </row>
        <row r="32">
          <cell r="C32" t="str">
            <v>G10 TRANSPORTES S.A</v>
          </cell>
          <cell r="D32" t="str">
            <v>AGRO</v>
          </cell>
          <cell r="E32" t="str">
            <v>OUTROS</v>
          </cell>
          <cell r="F32" t="str">
            <v>G10 TRANSPORTES</v>
          </cell>
          <cell r="G32" t="str">
            <v>G10 TRANSPORTES</v>
          </cell>
          <cell r="H32" t="str">
            <v>OUTROS</v>
          </cell>
        </row>
        <row r="33">
          <cell r="C33" t="str">
            <v>RCR QUALITY LOGISTICA E TRANSPORTE LTDA</v>
          </cell>
          <cell r="D33" t="str">
            <v>OUTROS</v>
          </cell>
          <cell r="E33" t="str">
            <v>OUTROS</v>
          </cell>
          <cell r="F33" t="str">
            <v>RCR QUALITY</v>
          </cell>
          <cell r="G33" t="str">
            <v>OUTROS</v>
          </cell>
          <cell r="H33" t="str">
            <v>OUTROS</v>
          </cell>
        </row>
        <row r="34">
          <cell r="C34" t="str">
            <v>SUMITOMO CHEMICAL BRASIL INDUSTRIA QUIMICA S.A</v>
          </cell>
          <cell r="D34" t="str">
            <v>OUTROS</v>
          </cell>
          <cell r="E34" t="str">
            <v>OUTROS</v>
          </cell>
          <cell r="F34" t="str">
            <v>SUMITOMO</v>
          </cell>
          <cell r="G34" t="str">
            <v>SUMITOMO</v>
          </cell>
          <cell r="H34" t="str">
            <v>OUTROS</v>
          </cell>
        </row>
        <row r="35">
          <cell r="C35" t="str">
            <v>TRANSPAISANO TRANSPORTESLTDA</v>
          </cell>
          <cell r="D35" t="str">
            <v>AGRO</v>
          </cell>
          <cell r="E35" t="str">
            <v>OUTROS</v>
          </cell>
          <cell r="F35" t="str">
            <v>TRANSPAISANO</v>
          </cell>
          <cell r="G35" t="str">
            <v>OUTROS</v>
          </cell>
          <cell r="H35" t="str">
            <v>OUTROS</v>
          </cell>
        </row>
        <row r="36">
          <cell r="C36" t="str">
            <v>GALOVÉIO TRANSPORTADORA</v>
          </cell>
          <cell r="D36" t="str">
            <v>OUTROS</v>
          </cell>
          <cell r="E36" t="str">
            <v>OUTROS</v>
          </cell>
          <cell r="F36" t="str">
            <v>GALOVÉIO</v>
          </cell>
          <cell r="G36" t="str">
            <v>OUTROS</v>
          </cell>
          <cell r="H36" t="str">
            <v>OUTROS</v>
          </cell>
        </row>
        <row r="37">
          <cell r="C37" t="str">
            <v>NEED TRANSPORTES E LOGISTICA LTDA</v>
          </cell>
          <cell r="D37" t="str">
            <v>AGRO</v>
          </cell>
          <cell r="E37" t="str">
            <v>OUTROS</v>
          </cell>
          <cell r="F37" t="str">
            <v>NEED TRANSPORTES</v>
          </cell>
          <cell r="G37" t="str">
            <v>OUTROS</v>
          </cell>
          <cell r="H37" t="str">
            <v>OUTROS</v>
          </cell>
        </row>
        <row r="38">
          <cell r="C38" t="str">
            <v>G.S. DOS SANTOS TRANSPORTES EIRELI</v>
          </cell>
          <cell r="D38" t="str">
            <v>OUTROS</v>
          </cell>
          <cell r="E38" t="str">
            <v>OUTROS</v>
          </cell>
          <cell r="F38" t="str">
            <v>GS DOS SANTOS</v>
          </cell>
          <cell r="G38" t="str">
            <v>OUTROS</v>
          </cell>
          <cell r="H38" t="str">
            <v>OUTROS</v>
          </cell>
        </row>
        <row r="39">
          <cell r="C39" t="str">
            <v>FERMAVI ELETROQUIMICA LTDA</v>
          </cell>
          <cell r="D39" t="str">
            <v>OUTROS</v>
          </cell>
          <cell r="E39" t="str">
            <v>OUTROS</v>
          </cell>
          <cell r="F39" t="str">
            <v>FERMAVI</v>
          </cell>
          <cell r="G39" t="str">
            <v>OUTROS</v>
          </cell>
          <cell r="H39" t="str">
            <v>OUTROS</v>
          </cell>
        </row>
        <row r="40">
          <cell r="C40" t="str">
            <v>SUZANO S/A</v>
          </cell>
          <cell r="D40" t="str">
            <v>OUTROS</v>
          </cell>
          <cell r="E40" t="str">
            <v>OUTROS</v>
          </cell>
          <cell r="F40" t="str">
            <v>SUZANO</v>
          </cell>
          <cell r="G40" t="str">
            <v>OUTROS</v>
          </cell>
          <cell r="H40" t="str">
            <v>OUTROS</v>
          </cell>
        </row>
        <row r="41">
          <cell r="C41" t="str">
            <v>ALLTAK INDUSTRIA E COMERCIO DE ADESIVOS - LTDA</v>
          </cell>
          <cell r="D41" t="str">
            <v>OUTROS</v>
          </cell>
          <cell r="E41" t="str">
            <v>OUTROS</v>
          </cell>
          <cell r="F41" t="str">
            <v>ALLTAK</v>
          </cell>
          <cell r="G41" t="str">
            <v>ALLTAK</v>
          </cell>
          <cell r="H41" t="str">
            <v>OUTROS</v>
          </cell>
        </row>
        <row r="42">
          <cell r="C42" t="str">
            <v>TECNOPERFIL ALUMINIO LTDA</v>
          </cell>
          <cell r="D42" t="str">
            <v>CBA</v>
          </cell>
          <cell r="E42" t="str">
            <v>CBA</v>
          </cell>
          <cell r="F42" t="str">
            <v>CBA</v>
          </cell>
          <cell r="G42" t="str">
            <v>CBA</v>
          </cell>
          <cell r="H42" t="str">
            <v>CBA</v>
          </cell>
        </row>
        <row r="43">
          <cell r="C43" t="str">
            <v>CENTAURO EMBALAGENS FLEXXIVEIS LTDA EPP</v>
          </cell>
          <cell r="D43" t="str">
            <v>OUTROS</v>
          </cell>
          <cell r="E43" t="str">
            <v>OUTROS</v>
          </cell>
          <cell r="F43" t="str">
            <v>CENTAURO EMBALAGENS</v>
          </cell>
          <cell r="G43" t="str">
            <v>CENTAURO EMBALAGENS</v>
          </cell>
          <cell r="H43" t="str">
            <v>OUTROS</v>
          </cell>
        </row>
        <row r="44">
          <cell r="C44" t="str">
            <v>SUZANO S.A.</v>
          </cell>
          <cell r="D44" t="str">
            <v>OUTROS</v>
          </cell>
          <cell r="E44" t="str">
            <v>OUTROS</v>
          </cell>
          <cell r="F44" t="str">
            <v>SUZANO</v>
          </cell>
          <cell r="G44" t="str">
            <v>OUTROS</v>
          </cell>
          <cell r="H44" t="str">
            <v>OUTROS</v>
          </cell>
        </row>
        <row r="45">
          <cell r="C45" t="str">
            <v>GF BLUE LOGISTICA LTDA GIROTO  LOGISTICA</v>
          </cell>
          <cell r="D45" t="str">
            <v>AGRO</v>
          </cell>
          <cell r="E45" t="str">
            <v>OUTROS</v>
          </cell>
          <cell r="F45" t="str">
            <v>GF BLUE</v>
          </cell>
          <cell r="G45" t="str">
            <v>OUTROS</v>
          </cell>
          <cell r="H45" t="str">
            <v>OUTROS</v>
          </cell>
        </row>
        <row r="46">
          <cell r="C46" t="str">
            <v>MULTICOATING</v>
          </cell>
          <cell r="D46" t="str">
            <v>OUTROS</v>
          </cell>
          <cell r="E46" t="str">
            <v>OUTROS</v>
          </cell>
          <cell r="F46" t="str">
            <v>MULTICOATING</v>
          </cell>
          <cell r="G46" t="str">
            <v>MULTICOATING</v>
          </cell>
          <cell r="H46" t="str">
            <v>OUTROS</v>
          </cell>
        </row>
        <row r="47">
          <cell r="C47" t="str">
            <v>AMBEV S.A.</v>
          </cell>
          <cell r="D47" t="str">
            <v>AMBEV</v>
          </cell>
          <cell r="E47" t="str">
            <v>AMBEV</v>
          </cell>
          <cell r="F47" t="str">
            <v>AMBEV</v>
          </cell>
          <cell r="G47" t="str">
            <v>AMBEV</v>
          </cell>
          <cell r="H47" t="str">
            <v>AMBEV</v>
          </cell>
        </row>
        <row r="48">
          <cell r="C48" t="str">
            <v>PADRAO TRANSPORTES LTDA</v>
          </cell>
          <cell r="D48" t="str">
            <v>AGRO</v>
          </cell>
          <cell r="E48" t="str">
            <v>OUTROS</v>
          </cell>
          <cell r="F48" t="str">
            <v>PADRÃO TRANSPORTES</v>
          </cell>
          <cell r="G48" t="str">
            <v>OUTROS</v>
          </cell>
          <cell r="H48" t="str">
            <v>OUTROS</v>
          </cell>
        </row>
        <row r="49">
          <cell r="C49" t="str">
            <v>ALYBRAS TRANSPORTES E LOGISTICA LTDA</v>
          </cell>
          <cell r="D49" t="str">
            <v>OUTROS</v>
          </cell>
          <cell r="E49" t="str">
            <v>OUTROS</v>
          </cell>
          <cell r="F49" t="str">
            <v>ALYBRAS</v>
          </cell>
          <cell r="G49" t="str">
            <v>ALYBRAS</v>
          </cell>
          <cell r="H49" t="str">
            <v>OUTROS</v>
          </cell>
        </row>
        <row r="50">
          <cell r="C50" t="str">
            <v>ARILDO TRANSPORTES</v>
          </cell>
          <cell r="D50" t="str">
            <v>OUTROS</v>
          </cell>
          <cell r="E50" t="str">
            <v>OUTROS</v>
          </cell>
          <cell r="F50" t="str">
            <v>ARILDO TRANSPORTES</v>
          </cell>
          <cell r="G50" t="str">
            <v>OUTROS</v>
          </cell>
          <cell r="H50" t="str">
            <v>OUTROS</v>
          </cell>
        </row>
        <row r="51">
          <cell r="C51" t="str">
            <v>ROMAGNOLO TRANSPORTES LTDA</v>
          </cell>
          <cell r="D51" t="str">
            <v>OUTROS</v>
          </cell>
          <cell r="E51" t="str">
            <v>OUTROS</v>
          </cell>
          <cell r="F51" t="str">
            <v>ROMAGNOLO</v>
          </cell>
          <cell r="G51" t="str">
            <v>OUTROS</v>
          </cell>
          <cell r="H51" t="str">
            <v>OUTROS</v>
          </cell>
        </row>
        <row r="52">
          <cell r="C52" t="str">
            <v>IMERYS DO BRASIL COM</v>
          </cell>
          <cell r="D52" t="str">
            <v>OUTROS</v>
          </cell>
          <cell r="E52" t="str">
            <v>IMERYS</v>
          </cell>
          <cell r="F52" t="str">
            <v>IMERYS</v>
          </cell>
          <cell r="G52" t="str">
            <v>IMERYS</v>
          </cell>
          <cell r="H52" t="str">
            <v>IMERYS</v>
          </cell>
        </row>
        <row r="53">
          <cell r="C53" t="str">
            <v>COOCATRANS</v>
          </cell>
          <cell r="D53" t="str">
            <v>OUTROS</v>
          </cell>
          <cell r="E53" t="str">
            <v>OUTROS</v>
          </cell>
          <cell r="F53" t="str">
            <v>COOCATRANS</v>
          </cell>
          <cell r="G53" t="str">
            <v>OUTROS</v>
          </cell>
          <cell r="H53" t="str">
            <v>OUTROS</v>
          </cell>
        </row>
        <row r="54">
          <cell r="C54" t="str">
            <v>JS TRANSPORTES E LOGISTICA EIRELI</v>
          </cell>
          <cell r="D54" t="str">
            <v>OUTROS</v>
          </cell>
          <cell r="E54" t="str">
            <v>OUTROS</v>
          </cell>
          <cell r="F54" t="str">
            <v>JS TRANSPORTES</v>
          </cell>
          <cell r="G54" t="str">
            <v>OUTROS</v>
          </cell>
          <cell r="H54" t="str">
            <v>OUTROS</v>
          </cell>
        </row>
        <row r="55">
          <cell r="C55" t="str">
            <v>AMBEV S.A. - F. JUND</v>
          </cell>
          <cell r="D55" t="str">
            <v>AMBEV</v>
          </cell>
          <cell r="E55" t="str">
            <v>AMBEV</v>
          </cell>
          <cell r="F55" t="str">
            <v>AMBEV</v>
          </cell>
          <cell r="G55" t="str">
            <v>AMBEV</v>
          </cell>
          <cell r="H55" t="str">
            <v>AMBEV</v>
          </cell>
        </row>
        <row r="56">
          <cell r="C56" t="str">
            <v>RJ DA SILVA BRITO-ME TRNAS RJ ME</v>
          </cell>
          <cell r="D56" t="str">
            <v>OUTROS</v>
          </cell>
          <cell r="E56" t="str">
            <v>OUTROS</v>
          </cell>
          <cell r="F56" t="str">
            <v>RJ DA SILVA BRITO</v>
          </cell>
          <cell r="G56" t="str">
            <v>OUTROS</v>
          </cell>
          <cell r="H56" t="str">
            <v>OUTROS</v>
          </cell>
        </row>
        <row r="57">
          <cell r="C57" t="str">
            <v>YNOVA TRANSPORTES E LOGISTICA LTDA</v>
          </cell>
          <cell r="D57" t="str">
            <v>AGRO</v>
          </cell>
          <cell r="E57" t="str">
            <v>OUTROS</v>
          </cell>
          <cell r="F57" t="str">
            <v>YNOVA</v>
          </cell>
          <cell r="G57" t="str">
            <v>OUTROS</v>
          </cell>
          <cell r="H57" t="str">
            <v>OUTROS</v>
          </cell>
        </row>
        <row r="58">
          <cell r="C58" t="str">
            <v>TRANSPORTADORA SANA LTDA</v>
          </cell>
          <cell r="D58" t="str">
            <v>OUTROS</v>
          </cell>
          <cell r="E58" t="str">
            <v>OUTROS</v>
          </cell>
          <cell r="F58" t="str">
            <v>TRANSPORTADORA SANA</v>
          </cell>
          <cell r="G58" t="str">
            <v>OUTROS</v>
          </cell>
          <cell r="H58" t="str">
            <v>OUTROS</v>
          </cell>
        </row>
        <row r="59">
          <cell r="C59" t="str">
            <v>G10 TRANSPORTES S.A.</v>
          </cell>
          <cell r="D59" t="str">
            <v>AGRO</v>
          </cell>
          <cell r="E59" t="str">
            <v>OUTROS</v>
          </cell>
          <cell r="F59" t="str">
            <v>G10 TRANSPORTES</v>
          </cell>
          <cell r="G59" t="str">
            <v>G10 TRANSPORTES</v>
          </cell>
          <cell r="H59" t="str">
            <v>OUTROS</v>
          </cell>
        </row>
        <row r="60">
          <cell r="C60" t="str">
            <v>LATASA GARIMPEIRO URBANO MINAS COM DE METAIS</v>
          </cell>
          <cell r="D60" t="str">
            <v>OUTROS</v>
          </cell>
          <cell r="E60" t="str">
            <v>OUTROS</v>
          </cell>
          <cell r="F60" t="str">
            <v>LATASA</v>
          </cell>
          <cell r="G60" t="str">
            <v>OUTROS</v>
          </cell>
          <cell r="H60" t="str">
            <v>OUTROS</v>
          </cell>
        </row>
        <row r="61">
          <cell r="C61" t="str">
            <v>LATASA GARIMPEIRO URBANO COM. METAIS LTDA</v>
          </cell>
          <cell r="D61" t="str">
            <v>OUTROS</v>
          </cell>
          <cell r="E61" t="str">
            <v>OUTROS</v>
          </cell>
          <cell r="F61" t="str">
            <v>LATASA</v>
          </cell>
          <cell r="G61" t="str">
            <v>OUTROS</v>
          </cell>
          <cell r="H61" t="str">
            <v>OUTROS</v>
          </cell>
        </row>
        <row r="62">
          <cell r="C62" t="str">
            <v>GRANLIDER TRANSPORTES E AGENCIAMENTO DE CARGAS LTD</v>
          </cell>
          <cell r="D62" t="str">
            <v>AGRO</v>
          </cell>
          <cell r="E62" t="str">
            <v>OUTROS</v>
          </cell>
          <cell r="F62" t="str">
            <v>GRANLIDER</v>
          </cell>
          <cell r="G62" t="str">
            <v>OUTROS</v>
          </cell>
          <cell r="H62" t="str">
            <v>OUTROS</v>
          </cell>
        </row>
        <row r="63">
          <cell r="C63" t="str">
            <v>PACTUS LOGISTICA INTEGRADA LTDA</v>
          </cell>
          <cell r="D63" t="str">
            <v>AGRO</v>
          </cell>
          <cell r="E63" t="str">
            <v>OUTROS</v>
          </cell>
          <cell r="F63" t="str">
            <v>PACTUS LOGÍSTICA</v>
          </cell>
          <cell r="G63" t="str">
            <v>OUTROS</v>
          </cell>
          <cell r="H63" t="str">
            <v>OUTROS</v>
          </cell>
        </row>
        <row r="64">
          <cell r="C64" t="str">
            <v>RODOLIVIA TRANSPORTES E LOGISTICA EIRELI</v>
          </cell>
          <cell r="D64" t="str">
            <v>AGRO</v>
          </cell>
          <cell r="E64" t="str">
            <v>OUTROS</v>
          </cell>
          <cell r="F64" t="str">
            <v>RODOLIVIA</v>
          </cell>
          <cell r="G64" t="str">
            <v>OUTROS</v>
          </cell>
          <cell r="H64" t="str">
            <v>OUTROS</v>
          </cell>
        </row>
        <row r="65">
          <cell r="C65" t="str">
            <v>CIA BEB AMERICAS AMB</v>
          </cell>
          <cell r="D65" t="str">
            <v>AMBEV</v>
          </cell>
          <cell r="E65" t="str">
            <v>AMBEV</v>
          </cell>
          <cell r="F65" t="str">
            <v>AMBEV</v>
          </cell>
          <cell r="G65" t="str">
            <v>AMBEV</v>
          </cell>
          <cell r="H65" t="str">
            <v>AMBEV</v>
          </cell>
        </row>
        <row r="66">
          <cell r="C66" t="str">
            <v>TOTAL SERVICE CARGO LTDA</v>
          </cell>
          <cell r="D66" t="str">
            <v>OUTROS</v>
          </cell>
          <cell r="E66" t="str">
            <v>OUTROS</v>
          </cell>
          <cell r="F66" t="str">
            <v>TOTAL SERVICE CARGO</v>
          </cell>
          <cell r="G66" t="str">
            <v>OUTROS</v>
          </cell>
          <cell r="H66" t="str">
            <v>OUTROS</v>
          </cell>
        </row>
        <row r="67">
          <cell r="C67" t="str">
            <v>LATASA GARIMPEIRO UR</v>
          </cell>
          <cell r="D67" t="str">
            <v>OUTROS</v>
          </cell>
          <cell r="E67" t="str">
            <v>OUTROS</v>
          </cell>
          <cell r="F67" t="str">
            <v>LATASA</v>
          </cell>
          <cell r="G67" t="str">
            <v>OUTROS</v>
          </cell>
          <cell r="H67" t="str">
            <v>OUTROS</v>
          </cell>
        </row>
        <row r="68">
          <cell r="C68" t="str">
            <v>LATASA MS RECICLAGEM LTDA</v>
          </cell>
          <cell r="D68" t="str">
            <v>OUTROS</v>
          </cell>
          <cell r="E68" t="str">
            <v>OUTROS</v>
          </cell>
          <cell r="F68" t="str">
            <v>LATASA</v>
          </cell>
          <cell r="G68" t="str">
            <v>OUTROS</v>
          </cell>
          <cell r="H68" t="str">
            <v>OUTROS</v>
          </cell>
        </row>
        <row r="69">
          <cell r="C69" t="str">
            <v>SOLUCOES SERVICOS DE TRANSPORTES EIRELI</v>
          </cell>
          <cell r="D69" t="str">
            <v>OUTROS</v>
          </cell>
          <cell r="E69" t="str">
            <v>OUTROS</v>
          </cell>
          <cell r="F69" t="str">
            <v>SOLUÇÕES SERVIÇOS</v>
          </cell>
          <cell r="G69" t="str">
            <v>OUTROS</v>
          </cell>
          <cell r="H69" t="str">
            <v>OUTROS</v>
          </cell>
        </row>
        <row r="70">
          <cell r="C70" t="str">
            <v>LATASA GARIMPEIRO URBANO COM DE METAIS</v>
          </cell>
          <cell r="D70" t="str">
            <v>OUTROS</v>
          </cell>
          <cell r="E70" t="str">
            <v>OUTROS</v>
          </cell>
          <cell r="F70" t="str">
            <v>LATASA</v>
          </cell>
          <cell r="G70" t="str">
            <v>OUTROS</v>
          </cell>
          <cell r="H70" t="str">
            <v>OUTROS</v>
          </cell>
        </row>
        <row r="71">
          <cell r="C71" t="str">
            <v>GESSO FORTE COMERCIO E TRANSPORTE LTDA</v>
          </cell>
          <cell r="D71" t="str">
            <v>OUTROS</v>
          </cell>
          <cell r="E71" t="str">
            <v>OUTROS</v>
          </cell>
          <cell r="F71" t="str">
            <v>GESSO FORTE</v>
          </cell>
          <cell r="G71" t="str">
            <v>OUTROS</v>
          </cell>
          <cell r="H71" t="str">
            <v>OUTROS</v>
          </cell>
        </row>
        <row r="72">
          <cell r="C72" t="str">
            <v>ADF-EMPRESAS REUNIDAS LTDA</v>
          </cell>
          <cell r="D72" t="str">
            <v>AGRO</v>
          </cell>
          <cell r="E72" t="str">
            <v>OUTROS</v>
          </cell>
          <cell r="F72" t="str">
            <v>ADF</v>
          </cell>
          <cell r="G72" t="str">
            <v>OUTROS</v>
          </cell>
          <cell r="H72" t="str">
            <v>OUTROS</v>
          </cell>
        </row>
        <row r="73">
          <cell r="C73" t="str">
            <v>ALUMAX EXTRUSAO DE METAIS LTDA</v>
          </cell>
          <cell r="D73" t="str">
            <v>CBA</v>
          </cell>
          <cell r="E73" t="str">
            <v>CBA</v>
          </cell>
          <cell r="F73" t="str">
            <v>CBA</v>
          </cell>
          <cell r="G73" t="str">
            <v>CBA</v>
          </cell>
          <cell r="H73" t="str">
            <v>CBA</v>
          </cell>
        </row>
        <row r="74">
          <cell r="C74" t="str">
            <v>BORGNO TRANSPORTES LTDA-BA</v>
          </cell>
          <cell r="D74" t="str">
            <v>AGRO</v>
          </cell>
          <cell r="E74" t="str">
            <v>OUTROS</v>
          </cell>
          <cell r="F74" t="str">
            <v>BORGNO TRANSPORTES</v>
          </cell>
          <cell r="G74" t="str">
            <v>BORGNO TRANSPORTES</v>
          </cell>
          <cell r="H74" t="str">
            <v>OUTROS</v>
          </cell>
        </row>
        <row r="75">
          <cell r="C75" t="str">
            <v>FORM FLEXOGRAFIA IND GRAFICA LTDA</v>
          </cell>
          <cell r="D75" t="str">
            <v>OUTROS</v>
          </cell>
          <cell r="E75" t="str">
            <v>OUTROS</v>
          </cell>
          <cell r="F75" t="str">
            <v>FORM FLEXOGRAFIA</v>
          </cell>
          <cell r="G75" t="str">
            <v>OUTROS</v>
          </cell>
          <cell r="H75" t="str">
            <v>OUTROS</v>
          </cell>
        </row>
        <row r="76">
          <cell r="C76" t="str">
            <v>GRAFICA PERI LTDA.</v>
          </cell>
          <cell r="D76" t="str">
            <v>OUTROS</v>
          </cell>
          <cell r="E76" t="str">
            <v>OUTROS</v>
          </cell>
          <cell r="F76" t="str">
            <v>GRÁFICA PERI</v>
          </cell>
          <cell r="G76" t="str">
            <v>OUTROS</v>
          </cell>
          <cell r="H76" t="str">
            <v>OUTROS</v>
          </cell>
        </row>
        <row r="77">
          <cell r="C77" t="str">
            <v>GV DO BRASIL INDUSTRIA E COMERCIO DE AÇO LTDA</v>
          </cell>
          <cell r="D77" t="str">
            <v>OUTROS</v>
          </cell>
          <cell r="E77" t="str">
            <v>OUTROS</v>
          </cell>
          <cell r="F77" t="str">
            <v>GV DO BRASIL</v>
          </cell>
          <cell r="G77" t="str">
            <v>GV DO BRASIL</v>
          </cell>
          <cell r="H77" t="str">
            <v>OUTROS</v>
          </cell>
        </row>
        <row r="78">
          <cell r="C78" t="str">
            <v>HF BRASIL COSMETICOS LTDA</v>
          </cell>
          <cell r="D78" t="str">
            <v>OUTROS</v>
          </cell>
          <cell r="E78" t="str">
            <v>OUTROS</v>
          </cell>
          <cell r="F78" t="str">
            <v>HF BRASIL</v>
          </cell>
          <cell r="G78" t="str">
            <v>OUTROS</v>
          </cell>
          <cell r="H78" t="str">
            <v>OUTROS</v>
          </cell>
        </row>
        <row r="79">
          <cell r="C79" t="str">
            <v>IND COM GOTTHARD KAESEMODEL S/A</v>
          </cell>
          <cell r="D79" t="str">
            <v>OUTROS</v>
          </cell>
          <cell r="E79" t="str">
            <v>OUTROS</v>
          </cell>
          <cell r="F79" t="str">
            <v>GOTTHARD KAESEMODEL</v>
          </cell>
          <cell r="G79" t="str">
            <v>GOTTHARD KAESEMODEL</v>
          </cell>
          <cell r="H79" t="str">
            <v>OUTROS</v>
          </cell>
        </row>
        <row r="80">
          <cell r="C80" t="str">
            <v>SALINA SOLEDADE LTDA</v>
          </cell>
          <cell r="D80" t="str">
            <v>OUTROS</v>
          </cell>
          <cell r="E80" t="str">
            <v>OUTROS</v>
          </cell>
          <cell r="F80" t="str">
            <v>SALINA SOLEDADE</v>
          </cell>
          <cell r="G80" t="str">
            <v>OUTROS</v>
          </cell>
          <cell r="H80" t="str">
            <v>OUTROS</v>
          </cell>
        </row>
        <row r="81">
          <cell r="C81" t="str">
            <v>SANTOS COMERCIO DE PRODUTOS DIVERSOS &amp; IMPRESSOES</v>
          </cell>
          <cell r="D81" t="str">
            <v>OUTROS</v>
          </cell>
          <cell r="E81" t="str">
            <v>OUTROS</v>
          </cell>
          <cell r="F81" t="str">
            <v>SANTOS COMÉRCIO</v>
          </cell>
          <cell r="G81" t="str">
            <v>OUTROS</v>
          </cell>
          <cell r="H81" t="str">
            <v>OUTROS</v>
          </cell>
        </row>
        <row r="82">
          <cell r="C82" t="str">
            <v>TRANSCARBONATO TRANSPORTES LTDA</v>
          </cell>
          <cell r="D82" t="str">
            <v>AGRO</v>
          </cell>
          <cell r="E82" t="str">
            <v>OUTROS</v>
          </cell>
          <cell r="F82" t="str">
            <v>TRANSCARBONATO</v>
          </cell>
          <cell r="G82" t="str">
            <v>OUTROS</v>
          </cell>
          <cell r="H82" t="str">
            <v>OUTROS</v>
          </cell>
        </row>
        <row r="83">
          <cell r="C83" t="str">
            <v>TRANSUL SERVICOS LOCACAO E TRANSPORTE LTDA</v>
          </cell>
          <cell r="D83" t="str">
            <v>AGRO</v>
          </cell>
          <cell r="E83" t="str">
            <v>OUTROS</v>
          </cell>
          <cell r="F83" t="str">
            <v>TRANSUL</v>
          </cell>
          <cell r="G83" t="str">
            <v>OUTROS</v>
          </cell>
          <cell r="H83" t="str">
            <v>OUTROS</v>
          </cell>
        </row>
        <row r="84">
          <cell r="C84" t="str">
            <v>UNIPAR CARBOCLORO S.</v>
          </cell>
          <cell r="D84" t="str">
            <v>UNIPAR</v>
          </cell>
          <cell r="E84" t="str">
            <v>UNIPAR</v>
          </cell>
          <cell r="F84" t="str">
            <v>UNIPAR</v>
          </cell>
          <cell r="G84" t="str">
            <v>UNIPAR</v>
          </cell>
          <cell r="H84" t="str">
            <v>UNIPAR</v>
          </cell>
        </row>
        <row r="85">
          <cell r="C85" t="str">
            <v>VERDE FORTE PAPEIS S</v>
          </cell>
          <cell r="D85" t="str">
            <v>VERDE FORTE</v>
          </cell>
          <cell r="E85" t="str">
            <v>VERDE FORTE</v>
          </cell>
          <cell r="F85" t="str">
            <v>VERDE FORTE</v>
          </cell>
          <cell r="G85" t="str">
            <v>VERDE FORTE</v>
          </cell>
          <cell r="H85" t="str">
            <v>VERDE FORTE</v>
          </cell>
        </row>
        <row r="86">
          <cell r="C86" t="str">
            <v>SINGULARES IND IMP EXP ARTEFATOS PAPEL L</v>
          </cell>
          <cell r="D86" t="str">
            <v>OUTROS</v>
          </cell>
          <cell r="E86" t="str">
            <v>OUTROS</v>
          </cell>
          <cell r="F86" t="str">
            <v>SINGULARES</v>
          </cell>
          <cell r="G86" t="str">
            <v>OUTROS</v>
          </cell>
          <cell r="H86" t="str">
            <v>OUTROS</v>
          </cell>
        </row>
        <row r="87">
          <cell r="C87" t="str">
            <v>SANTOS COMERCIO DE PRODUTOS DIVERSOS &amp; IMPRESSOES EIRELLI</v>
          </cell>
          <cell r="D87" t="str">
            <v>OUTROS</v>
          </cell>
          <cell r="E87" t="str">
            <v>OUTROS</v>
          </cell>
          <cell r="F87" t="str">
            <v>SANTOS COMÉRCIO</v>
          </cell>
          <cell r="G87" t="str">
            <v>OUTROS</v>
          </cell>
          <cell r="H87" t="str">
            <v>OUTROS</v>
          </cell>
        </row>
        <row r="88">
          <cell r="C88" t="str">
            <v>VERDE FORTE PAPEIS S.A</v>
          </cell>
          <cell r="D88" t="str">
            <v>VERDE FORTE</v>
          </cell>
          <cell r="E88" t="str">
            <v>VERDE FORTE</v>
          </cell>
          <cell r="F88" t="str">
            <v>VERDE FORTE</v>
          </cell>
          <cell r="G88" t="str">
            <v>VERDE FORTE</v>
          </cell>
          <cell r="H88" t="str">
            <v>VERDE FORTE</v>
          </cell>
        </row>
        <row r="89">
          <cell r="C89" t="str">
            <v>MULTICOATING PAPEIS E EMBALAGENS LTDA</v>
          </cell>
          <cell r="D89" t="str">
            <v>OUTROS</v>
          </cell>
          <cell r="E89" t="str">
            <v>OUTROS</v>
          </cell>
          <cell r="F89" t="str">
            <v>MULTICOATING</v>
          </cell>
          <cell r="G89" t="str">
            <v>MULTICOATING</v>
          </cell>
          <cell r="H89" t="str">
            <v>OUTROS</v>
          </cell>
        </row>
        <row r="90">
          <cell r="C90" t="str">
            <v>COMPASS MINERALS SUDESTE INDUSTRIA E COMERCIO LTDA</v>
          </cell>
          <cell r="D90" t="str">
            <v>OUTROS</v>
          </cell>
          <cell r="E90" t="str">
            <v>OUTROS</v>
          </cell>
          <cell r="F90" t="str">
            <v>COMPASS MINERALS</v>
          </cell>
          <cell r="G90" t="str">
            <v>COMPASS MINERALS</v>
          </cell>
          <cell r="H90" t="str">
            <v>OUTROS</v>
          </cell>
        </row>
        <row r="91">
          <cell r="C91" t="str">
            <v>JOSE HAVIR FILHO &amp; CIA LTDA</v>
          </cell>
          <cell r="D91" t="str">
            <v>OUTROS</v>
          </cell>
          <cell r="E91" t="str">
            <v>OUTROS</v>
          </cell>
          <cell r="F91" t="str">
            <v>JOSÉ HAVIR FILHO &amp; CIA</v>
          </cell>
          <cell r="G91" t="str">
            <v>OUTROS</v>
          </cell>
          <cell r="H91" t="str">
            <v>OUTROS</v>
          </cell>
        </row>
        <row r="92">
          <cell r="C92" t="str">
            <v>REIPEL RECICLAGEM IND PAPEIS ESPEC LTDA</v>
          </cell>
          <cell r="D92" t="str">
            <v>OUTROS</v>
          </cell>
          <cell r="E92" t="str">
            <v>OUTROS</v>
          </cell>
          <cell r="F92" t="str">
            <v>REIPEL RECICLAGEM</v>
          </cell>
          <cell r="G92" t="str">
            <v>OUTROS</v>
          </cell>
          <cell r="H92" t="str">
            <v>OUTROS</v>
          </cell>
        </row>
        <row r="93">
          <cell r="C93" t="str">
            <v>VOTORANTIM CIMENTOS SA</v>
          </cell>
          <cell r="D93" t="str">
            <v>OUTROS</v>
          </cell>
          <cell r="E93" t="str">
            <v>OUTROS</v>
          </cell>
          <cell r="F93" t="str">
            <v>VOTORANTIM</v>
          </cell>
          <cell r="G93" t="str">
            <v>VOTORANTIM</v>
          </cell>
          <cell r="H93" t="str">
            <v>NOVOS</v>
          </cell>
        </row>
        <row r="94">
          <cell r="C94" t="str">
            <v>COMPANHIA BRASILEIRA DE ALUMINIO</v>
          </cell>
          <cell r="D94" t="str">
            <v>CBA</v>
          </cell>
          <cell r="E94" t="str">
            <v>CBA</v>
          </cell>
          <cell r="F94" t="str">
            <v>CBA</v>
          </cell>
          <cell r="G94" t="str">
            <v>CBA</v>
          </cell>
          <cell r="H94" t="str">
            <v>CBA</v>
          </cell>
        </row>
        <row r="95">
          <cell r="C95" t="str">
            <v>CIA BEB AMERICAS AMBEV CDR LOUVEIRA - DC</v>
          </cell>
          <cell r="D95" t="str">
            <v>AMBEV</v>
          </cell>
          <cell r="E95" t="str">
            <v>AMBEV</v>
          </cell>
          <cell r="F95" t="str">
            <v>AMBEV</v>
          </cell>
          <cell r="G95" t="str">
            <v>AMBEV</v>
          </cell>
          <cell r="H95" t="str">
            <v>AMBEV</v>
          </cell>
        </row>
        <row r="96">
          <cell r="C96" t="str">
            <v>AMBEV S.A. - F. JUNDIAI</v>
          </cell>
          <cell r="D96" t="str">
            <v>AMBEV</v>
          </cell>
          <cell r="E96" t="str">
            <v>AMBEV</v>
          </cell>
          <cell r="F96" t="str">
            <v>AMBEV</v>
          </cell>
          <cell r="G96" t="str">
            <v>AMBEV</v>
          </cell>
          <cell r="H96" t="str">
            <v>AMBEV</v>
          </cell>
        </row>
        <row r="97">
          <cell r="C97" t="str">
            <v>THERMOJET DO BRASIL LTDA</v>
          </cell>
          <cell r="D97" t="str">
            <v>OUTROS</v>
          </cell>
          <cell r="E97" t="str">
            <v>OUTROS</v>
          </cell>
          <cell r="F97" t="str">
            <v>THERMOJET</v>
          </cell>
          <cell r="G97" t="str">
            <v>OUTROS</v>
          </cell>
          <cell r="H97" t="str">
            <v>OUTROS</v>
          </cell>
        </row>
        <row r="98">
          <cell r="C98" t="str">
            <v>COMPANHIA SIDERURGICA DO ESPIRITO SANTO S.A.</v>
          </cell>
          <cell r="D98" t="str">
            <v>OUTROS</v>
          </cell>
          <cell r="E98" t="str">
            <v>OUTROS</v>
          </cell>
          <cell r="F98" t="str">
            <v>CIA SIDERÚRGICA ES</v>
          </cell>
          <cell r="G98" t="str">
            <v>OUTROS</v>
          </cell>
          <cell r="H98" t="str">
            <v>OUTROS</v>
          </cell>
        </row>
        <row r="99">
          <cell r="C99" t="str">
            <v>LANXESS - INDUSTRIA DE PRODUTOS QUIMICOS E PLASTICOS LTDA</v>
          </cell>
          <cell r="D99" t="str">
            <v>OUTROS</v>
          </cell>
          <cell r="E99" t="str">
            <v>LANXESS</v>
          </cell>
          <cell r="F99" t="str">
            <v>LANXESS</v>
          </cell>
          <cell r="G99" t="str">
            <v>LANXESS</v>
          </cell>
          <cell r="H99" t="str">
            <v>LANXESS</v>
          </cell>
        </row>
        <row r="100">
          <cell r="C100" t="str">
            <v>CORTTEX INDUSTRIA, COMERCIO, IMPORTACAO E EXPORTACAO LTDA</v>
          </cell>
          <cell r="D100" t="str">
            <v>OUTROS</v>
          </cell>
          <cell r="E100" t="str">
            <v>OUTROS</v>
          </cell>
          <cell r="F100" t="str">
            <v>CORTTEX</v>
          </cell>
          <cell r="G100" t="str">
            <v>OUTROS</v>
          </cell>
          <cell r="H100" t="str">
            <v>OUTROS</v>
          </cell>
        </row>
        <row r="101">
          <cell r="C101" t="str">
            <v>CARTA GOIAS INDUSTRIA E COMERCIO DE PAPEIS SA</v>
          </cell>
          <cell r="D101" t="str">
            <v>OUTROS</v>
          </cell>
          <cell r="E101" t="str">
            <v>OUTROS</v>
          </cell>
          <cell r="F101" t="str">
            <v>CARTA GOIÁS</v>
          </cell>
          <cell r="G101" t="str">
            <v>OUTROS</v>
          </cell>
          <cell r="H101" t="str">
            <v>OUTROS</v>
          </cell>
        </row>
        <row r="102">
          <cell r="C102" t="str">
            <v>LANXESS - IND. PROD. QUIM. PLAST. LTDA.</v>
          </cell>
          <cell r="D102" t="str">
            <v>OUTROS</v>
          </cell>
          <cell r="E102" t="str">
            <v>LANXESS</v>
          </cell>
          <cell r="F102" t="str">
            <v>LANXESS</v>
          </cell>
          <cell r="G102" t="str">
            <v>LANXESS</v>
          </cell>
          <cell r="H102" t="str">
            <v>LANXESS</v>
          </cell>
        </row>
        <row r="103">
          <cell r="C103" t="str">
            <v>WORLD POST INDUSTRIA, COMERCIO E SERVICOS LTDA</v>
          </cell>
          <cell r="D103" t="str">
            <v>OUTROS</v>
          </cell>
          <cell r="E103" t="str">
            <v>OUTROS</v>
          </cell>
          <cell r="F103" t="str">
            <v>WORLD POST</v>
          </cell>
          <cell r="G103" t="str">
            <v>OUTROS</v>
          </cell>
          <cell r="H103" t="str">
            <v>OUTROS</v>
          </cell>
        </row>
        <row r="104">
          <cell r="C104" t="str">
            <v>AMBEV S.A. - UNIDADE JAGUARIUNA</v>
          </cell>
          <cell r="D104" t="str">
            <v>AMBEV</v>
          </cell>
          <cell r="E104" t="str">
            <v>AMBEV</v>
          </cell>
          <cell r="F104" t="str">
            <v>AMBEV</v>
          </cell>
          <cell r="G104" t="str">
            <v>AMBEV</v>
          </cell>
          <cell r="H104" t="str">
            <v>AMBEV</v>
          </cell>
        </row>
        <row r="105">
          <cell r="C105" t="str">
            <v>AMBEV S.A. F. CUIABA</v>
          </cell>
          <cell r="D105" t="str">
            <v>AMBEV</v>
          </cell>
          <cell r="E105" t="str">
            <v>AMBEV</v>
          </cell>
          <cell r="F105" t="str">
            <v>AMBEV</v>
          </cell>
          <cell r="G105" t="str">
            <v>AMBEV</v>
          </cell>
          <cell r="H105" t="str">
            <v>AMBEV</v>
          </cell>
        </row>
        <row r="106">
          <cell r="C106" t="str">
            <v>EUROPAPER COMERCIAL EIRELI</v>
          </cell>
          <cell r="D106" t="str">
            <v>OUTROS</v>
          </cell>
          <cell r="E106" t="str">
            <v>OUTROS</v>
          </cell>
          <cell r="F106" t="str">
            <v>EUROPAPER</v>
          </cell>
          <cell r="G106" t="str">
            <v>OUTROS</v>
          </cell>
          <cell r="H106" t="str">
            <v>OUTROS</v>
          </cell>
        </row>
        <row r="107">
          <cell r="C107" t="str">
            <v>AGROPASTORIL JATOBASSO LTDA</v>
          </cell>
          <cell r="D107" t="str">
            <v>OUTROS</v>
          </cell>
          <cell r="E107" t="str">
            <v>OUTROS</v>
          </cell>
          <cell r="F107" t="str">
            <v>AGROPASTORIL</v>
          </cell>
          <cell r="G107" t="str">
            <v>OUTROS</v>
          </cell>
          <cell r="H107" t="str">
            <v>OUTROS</v>
          </cell>
        </row>
        <row r="108">
          <cell r="C108" t="str">
            <v>UNIPAR CARBOCLORO S.A.</v>
          </cell>
          <cell r="D108" t="str">
            <v>UNIPAR</v>
          </cell>
          <cell r="E108" t="str">
            <v>UNIPAR</v>
          </cell>
          <cell r="F108" t="str">
            <v>UNIPAR</v>
          </cell>
          <cell r="G108" t="str">
            <v>UNIPAR</v>
          </cell>
          <cell r="H108" t="str">
            <v>UNIPAR</v>
          </cell>
        </row>
        <row r="109">
          <cell r="C109" t="str">
            <v>BIOPAPERS INDUSTRIA E COMERCIO LTDA</v>
          </cell>
          <cell r="D109" t="str">
            <v>OUTROS</v>
          </cell>
          <cell r="E109" t="str">
            <v>OUTROS</v>
          </cell>
          <cell r="F109" t="str">
            <v>BIOPAPERS</v>
          </cell>
          <cell r="G109" t="str">
            <v>OUTROS</v>
          </cell>
          <cell r="H109" t="str">
            <v>OUTROS</v>
          </cell>
        </row>
        <row r="110">
          <cell r="C110" t="str">
            <v>AMBEV S/A</v>
          </cell>
          <cell r="D110" t="str">
            <v>AMBEV</v>
          </cell>
          <cell r="E110" t="str">
            <v>AMBEV</v>
          </cell>
          <cell r="F110" t="str">
            <v>AMBEV</v>
          </cell>
          <cell r="G110" t="str">
            <v>AMBEV</v>
          </cell>
          <cell r="H110" t="str">
            <v>AMBEV</v>
          </cell>
        </row>
        <row r="111">
          <cell r="C111" t="str">
            <v>SUMITOMO CHEMICAL BRASIL INDUSTRIA QUIMICA S.A.</v>
          </cell>
          <cell r="D111" t="str">
            <v>OUTROS</v>
          </cell>
          <cell r="E111" t="str">
            <v>OUTROS</v>
          </cell>
          <cell r="F111" t="str">
            <v>SUMITOMO</v>
          </cell>
          <cell r="G111" t="str">
            <v>SUMITOMO</v>
          </cell>
          <cell r="H111" t="str">
            <v>OUTROS</v>
          </cell>
        </row>
        <row r="112">
          <cell r="C112" t="str">
            <v>DIPLOGRAPH ARTES GRAFICAS EM DIPLOMAS LT</v>
          </cell>
          <cell r="D112" t="str">
            <v>OUTROS</v>
          </cell>
          <cell r="E112" t="str">
            <v>OUTROS</v>
          </cell>
          <cell r="F112" t="str">
            <v>DIPLOGRAPH</v>
          </cell>
          <cell r="G112" t="str">
            <v>OUTROS</v>
          </cell>
          <cell r="H112" t="str">
            <v>OUTROS</v>
          </cell>
        </row>
        <row r="113">
          <cell r="C113" t="str">
            <v>IMERYS DO BRASIL COMERCIO DE EXTRACAO DE MINERIOS LTDA</v>
          </cell>
          <cell r="D113" t="str">
            <v>OUTROS</v>
          </cell>
          <cell r="E113" t="str">
            <v>IMERYS</v>
          </cell>
          <cell r="F113" t="str">
            <v>IMERYS</v>
          </cell>
          <cell r="G113" t="str">
            <v>IMERYS</v>
          </cell>
          <cell r="H113" t="str">
            <v>IMERYS</v>
          </cell>
        </row>
        <row r="114">
          <cell r="C114" t="str">
            <v>C&amp;F COMERCIO DE INSUMOS AGRICOLAS EIRELI</v>
          </cell>
          <cell r="D114" t="str">
            <v>OUTROS</v>
          </cell>
          <cell r="E114" t="str">
            <v>OUTROS</v>
          </cell>
          <cell r="F114" t="str">
            <v>C&amp;F INSUMOS AGRÍCOLAS</v>
          </cell>
          <cell r="G114" t="str">
            <v>OUTROS</v>
          </cell>
          <cell r="H114" t="str">
            <v>OUTROS</v>
          </cell>
        </row>
        <row r="115">
          <cell r="C115" t="str">
            <v>FATEX INDUSTRIAL, COMERCIAL, IMPORTACAO E EXPORTACAO LTDA</v>
          </cell>
          <cell r="D115" t="str">
            <v>OUTROS</v>
          </cell>
          <cell r="E115" t="str">
            <v>OUTROS</v>
          </cell>
          <cell r="F115" t="str">
            <v>FATEX INDUSTRIAL</v>
          </cell>
          <cell r="G115" t="str">
            <v>OUTROS</v>
          </cell>
          <cell r="H115" t="str">
            <v>OUTROS</v>
          </cell>
        </row>
        <row r="116">
          <cell r="C116" t="str">
            <v>MUNTERS BRASIL INDUSTRIA E COMERCIO LTDA</v>
          </cell>
          <cell r="D116" t="str">
            <v>OUTROS</v>
          </cell>
          <cell r="E116" t="str">
            <v>OUTROS</v>
          </cell>
          <cell r="F116" t="str">
            <v>MUNTERS</v>
          </cell>
          <cell r="G116" t="str">
            <v>OUTROS</v>
          </cell>
          <cell r="H116" t="str">
            <v>OUTROS</v>
          </cell>
        </row>
        <row r="117">
          <cell r="C117" t="str">
            <v>AMBEV S.A. - F. UBERLANDIA</v>
          </cell>
          <cell r="D117" t="str">
            <v>AMBEV</v>
          </cell>
          <cell r="E117" t="str">
            <v>AMBEV</v>
          </cell>
          <cell r="F117" t="str">
            <v>AMBEV</v>
          </cell>
          <cell r="G117" t="str">
            <v>AMBEV</v>
          </cell>
          <cell r="H117" t="str">
            <v>AMBEV</v>
          </cell>
        </row>
        <row r="118">
          <cell r="C118" t="str">
            <v>JS GRAFICA EDITORA E ENCADERNADORA LTDA</v>
          </cell>
          <cell r="D118" t="str">
            <v>OUTROS</v>
          </cell>
          <cell r="E118" t="str">
            <v>OUTROS</v>
          </cell>
          <cell r="F118" t="str">
            <v>JS GRÁFICA</v>
          </cell>
          <cell r="G118" t="str">
            <v>OUTROS</v>
          </cell>
          <cell r="H118" t="str">
            <v>OUTROS</v>
          </cell>
        </row>
        <row r="119">
          <cell r="C119" t="str">
            <v>SUMITOMO CHEMICAL DO BRASIL REPRESENTAÇES</v>
          </cell>
          <cell r="D119" t="str">
            <v>OUTROS</v>
          </cell>
          <cell r="E119" t="str">
            <v>OUTROS</v>
          </cell>
          <cell r="F119" t="str">
            <v>SUMITOMO</v>
          </cell>
          <cell r="G119" t="str">
            <v>SUMITOMO</v>
          </cell>
          <cell r="H119" t="str">
            <v>OUTROS</v>
          </cell>
        </row>
        <row r="120">
          <cell r="C120" t="str">
            <v>LATASA GARIMPEIRO URBANO MINAS COMERCIO DE METAIS LTDA</v>
          </cell>
          <cell r="D120" t="str">
            <v>OUTROS</v>
          </cell>
          <cell r="E120" t="str">
            <v>OUTROS</v>
          </cell>
          <cell r="F120" t="str">
            <v>LATASA</v>
          </cell>
          <cell r="G120" t="str">
            <v>OUTROS</v>
          </cell>
          <cell r="H120" t="str">
            <v>OUTROS</v>
          </cell>
        </row>
        <row r="121">
          <cell r="C121" t="str">
            <v>LATASA GARIMPEIRO URBANO R. JANEIRO COMERCIO DE METAIS LTDA</v>
          </cell>
          <cell r="D121" t="str">
            <v>OUTROS</v>
          </cell>
          <cell r="E121" t="str">
            <v>OUTROS</v>
          </cell>
          <cell r="F121" t="str">
            <v>LATASA</v>
          </cell>
          <cell r="G121" t="str">
            <v>OUTROS</v>
          </cell>
          <cell r="H121" t="str">
            <v>OUTROS</v>
          </cell>
        </row>
        <row r="122">
          <cell r="C122" t="str">
            <v>LATASA GARIMPEIRO URBANO COM. METAIS LTD</v>
          </cell>
          <cell r="D122" t="str">
            <v>OUTROS</v>
          </cell>
          <cell r="E122" t="str">
            <v>OUTROS</v>
          </cell>
          <cell r="F122" t="str">
            <v>LATASA</v>
          </cell>
          <cell r="G122" t="str">
            <v>OUTROS</v>
          </cell>
          <cell r="H122" t="str">
            <v>OUTROS</v>
          </cell>
        </row>
        <row r="123">
          <cell r="C123" t="str">
            <v>AMBEV S.A. - F. GUARULHOS</v>
          </cell>
          <cell r="D123" t="str">
            <v>AMBEV</v>
          </cell>
          <cell r="E123" t="str">
            <v>AMBEV</v>
          </cell>
          <cell r="F123" t="str">
            <v>AMBEV</v>
          </cell>
          <cell r="G123" t="str">
            <v>AMBEV</v>
          </cell>
          <cell r="H123" t="str">
            <v>AMBEV</v>
          </cell>
        </row>
        <row r="124">
          <cell r="C124" t="str">
            <v>A.Y. NAM COSMETICOS EIRELI LTDA ME</v>
          </cell>
          <cell r="D124" t="str">
            <v>AGRO</v>
          </cell>
          <cell r="E124" t="str">
            <v>OUTROS</v>
          </cell>
          <cell r="F124" t="str">
            <v>A Y NAM COSMÉTICOS</v>
          </cell>
          <cell r="G124" t="str">
            <v>OUTROS</v>
          </cell>
          <cell r="H124" t="str">
            <v>OUTROS</v>
          </cell>
        </row>
        <row r="125">
          <cell r="C125" t="str">
            <v>PISOTRAT PISOS ELEVADOS EIRELI EPP</v>
          </cell>
          <cell r="D125" t="str">
            <v>AGRO</v>
          </cell>
          <cell r="E125" t="str">
            <v>OUTROS</v>
          </cell>
          <cell r="F125" t="str">
            <v>PISOTRAT PISOS</v>
          </cell>
          <cell r="G125" t="str">
            <v>OUTROS</v>
          </cell>
          <cell r="H125" t="str">
            <v>OUTROS</v>
          </cell>
        </row>
        <row r="126">
          <cell r="C126" t="str">
            <v>ULLIAN ESQUADRIAS METALICA LTDA</v>
          </cell>
          <cell r="D126" t="str">
            <v>OUTROS</v>
          </cell>
          <cell r="E126" t="str">
            <v>OUTROS</v>
          </cell>
          <cell r="F126" t="str">
            <v>ULLIAN ESQUADRIAS</v>
          </cell>
          <cell r="G126" t="str">
            <v>OUTROS</v>
          </cell>
          <cell r="H126" t="str">
            <v>OUTROS</v>
          </cell>
        </row>
        <row r="127">
          <cell r="C127" t="str">
            <v>AÇAI FRUIT IND E COM ALIMS LTDA</v>
          </cell>
          <cell r="D127" t="str">
            <v>OUTROS</v>
          </cell>
          <cell r="E127" t="str">
            <v>OUTROS</v>
          </cell>
          <cell r="F127" t="str">
            <v>AÇAÍ FRUIT</v>
          </cell>
          <cell r="G127" t="str">
            <v>OUTROS</v>
          </cell>
          <cell r="H127" t="str">
            <v>OUTROS</v>
          </cell>
        </row>
        <row r="128">
          <cell r="C128" t="str">
            <v>GF BLUE LOGISTICA LTDA GIROTO LOGISTICA</v>
          </cell>
          <cell r="D128" t="str">
            <v>AGRO</v>
          </cell>
          <cell r="E128" t="str">
            <v>OUTROS</v>
          </cell>
          <cell r="F128" t="str">
            <v>GF BLUE</v>
          </cell>
          <cell r="G128" t="str">
            <v>OUTROS</v>
          </cell>
          <cell r="H128" t="str">
            <v>OUTROS</v>
          </cell>
        </row>
        <row r="129">
          <cell r="C129" t="str">
            <v>LATASA INDUSTRIA E COMERCIO LTDA</v>
          </cell>
          <cell r="D129" t="str">
            <v>OUTROS</v>
          </cell>
          <cell r="E129" t="str">
            <v>OUTROS</v>
          </cell>
          <cell r="F129" t="str">
            <v>LATASA</v>
          </cell>
          <cell r="G129" t="str">
            <v>OUTROS</v>
          </cell>
          <cell r="H129" t="str">
            <v>OUTROS</v>
          </cell>
        </row>
        <row r="130">
          <cell r="C130" t="str">
            <v>VIACODE IMPRESSOS DE SEGURANCA EIRELI</v>
          </cell>
          <cell r="D130" t="str">
            <v>OUTROS</v>
          </cell>
          <cell r="E130" t="str">
            <v>OUTROS</v>
          </cell>
          <cell r="F130" t="str">
            <v>VIACODE</v>
          </cell>
          <cell r="G130" t="str">
            <v>OUTROS</v>
          </cell>
          <cell r="H130" t="str">
            <v>OUTROS</v>
          </cell>
        </row>
        <row r="131">
          <cell r="C131" t="str">
            <v>SUMITOMO CHEMICAL BRASIL INDUSTRIA QUIMICA S. A.</v>
          </cell>
          <cell r="D131" t="str">
            <v>OUTROS</v>
          </cell>
          <cell r="E131" t="str">
            <v>OUTROS</v>
          </cell>
          <cell r="F131" t="str">
            <v>SUMITOMO</v>
          </cell>
          <cell r="G131" t="str">
            <v>SUMITOMO</v>
          </cell>
          <cell r="H131" t="str">
            <v>OUTROS</v>
          </cell>
        </row>
        <row r="132">
          <cell r="C132" t="str">
            <v>EVEREST EXS GESTAO LOGISTICA LTDA</v>
          </cell>
          <cell r="D132" t="str">
            <v>AGRO</v>
          </cell>
          <cell r="E132" t="str">
            <v>OUTROS</v>
          </cell>
          <cell r="F132" t="str">
            <v>EVEREST EXS</v>
          </cell>
          <cell r="G132" t="str">
            <v>EVEREST EXS</v>
          </cell>
          <cell r="H132" t="str">
            <v>OUTROS</v>
          </cell>
        </row>
        <row r="133">
          <cell r="C133" t="str">
            <v>BG TRANSPORTES RODOVIARIOS LTDA</v>
          </cell>
          <cell r="D133" t="str">
            <v>AGRO</v>
          </cell>
          <cell r="E133" t="str">
            <v>OUTROS</v>
          </cell>
          <cell r="F133" t="str">
            <v>BG TRANSPORTES</v>
          </cell>
          <cell r="G133" t="str">
            <v>OUTROS</v>
          </cell>
          <cell r="H133" t="str">
            <v>OUTROS</v>
          </cell>
        </row>
        <row r="134">
          <cell r="C134" t="str">
            <v>GRANLIDER TRANSPORTES E AGENCIAMENTO DE CARGAS LTDA</v>
          </cell>
          <cell r="D134" t="str">
            <v>AGRO</v>
          </cell>
          <cell r="E134" t="str">
            <v>OUTROS</v>
          </cell>
          <cell r="F134" t="str">
            <v>GRANLIDER</v>
          </cell>
          <cell r="G134" t="str">
            <v>OUTROS</v>
          </cell>
          <cell r="H134" t="str">
            <v>OUTROS</v>
          </cell>
        </row>
        <row r="135">
          <cell r="C135" t="str">
            <v>BRAVO SERVICOS LOGISTICOS LTDA</v>
          </cell>
          <cell r="D135" t="str">
            <v>AGRO</v>
          </cell>
          <cell r="E135" t="str">
            <v>OUTROS</v>
          </cell>
          <cell r="F135" t="str">
            <v>BRAVO</v>
          </cell>
          <cell r="G135" t="str">
            <v>BRAVO</v>
          </cell>
          <cell r="H135" t="str">
            <v>OUTROS</v>
          </cell>
        </row>
        <row r="136">
          <cell r="C136" t="str">
            <v>COOPERATIVA CATARINENSE DE TRANSP. DE CARGAS COOCATRANS</v>
          </cell>
          <cell r="D136" t="str">
            <v>OUTROS</v>
          </cell>
          <cell r="E136" t="str">
            <v>OUTROS</v>
          </cell>
          <cell r="F136" t="str">
            <v>COOCATRANS</v>
          </cell>
          <cell r="G136" t="str">
            <v>OUTROS</v>
          </cell>
          <cell r="H136" t="str">
            <v>OUTROS</v>
          </cell>
        </row>
        <row r="137">
          <cell r="C137" t="str">
            <v>PANCAR TRANSPORTES LTDA</v>
          </cell>
          <cell r="D137" t="str">
            <v>AGRO</v>
          </cell>
          <cell r="E137" t="str">
            <v>OUTROS</v>
          </cell>
          <cell r="F137" t="str">
            <v>PANCAR TRANSPORTES</v>
          </cell>
          <cell r="G137" t="str">
            <v>OUTROS</v>
          </cell>
          <cell r="H137" t="str">
            <v>OUTROS</v>
          </cell>
        </row>
        <row r="138">
          <cell r="C138" t="str">
            <v>RCR QUALITY LOGISTICA E TRANSPORTES LTDA</v>
          </cell>
          <cell r="D138" t="str">
            <v>OUTROS</v>
          </cell>
          <cell r="E138" t="str">
            <v>OUTROS</v>
          </cell>
          <cell r="F138" t="str">
            <v>RCR QUALITY</v>
          </cell>
          <cell r="G138" t="str">
            <v>OUTROS</v>
          </cell>
          <cell r="H138" t="str">
            <v>OUTROS</v>
          </cell>
        </row>
        <row r="139">
          <cell r="C139" t="str">
            <v>S E TRANSPORTES E REPRESENTACOES LTDA</v>
          </cell>
          <cell r="D139" t="str">
            <v>AGRO</v>
          </cell>
          <cell r="E139" t="str">
            <v>OUTROS</v>
          </cell>
          <cell r="F139" t="str">
            <v>S.E. TRANSPORTES</v>
          </cell>
          <cell r="G139" t="str">
            <v>OUTROS</v>
          </cell>
          <cell r="H139" t="str">
            <v>OUTROS</v>
          </cell>
        </row>
        <row r="140">
          <cell r="C140" t="str">
            <v>SANPLAST INDUSTRIA E COMERCIO DE PRODUTOS RECICLAVEIS LTDA</v>
          </cell>
          <cell r="D140" t="str">
            <v>OUTROS</v>
          </cell>
          <cell r="E140" t="str">
            <v>OUTROS</v>
          </cell>
          <cell r="F140" t="str">
            <v>SANPLAST</v>
          </cell>
          <cell r="G140" t="str">
            <v>OUTROS</v>
          </cell>
          <cell r="H140" t="str">
            <v>OUTROS</v>
          </cell>
        </row>
        <row r="141">
          <cell r="C141" t="str">
            <v>PIETRO BIAZI COM DE PEÇAS P/VEICULOS E TRANSORTES LTDA</v>
          </cell>
          <cell r="D141" t="str">
            <v>OUTROS</v>
          </cell>
          <cell r="E141" t="str">
            <v>OUTROS</v>
          </cell>
          <cell r="F141" t="str">
            <v>PIETRO BIAZI PEÇAS</v>
          </cell>
          <cell r="G141" t="str">
            <v>OUTROS</v>
          </cell>
          <cell r="H141" t="str">
            <v>OUTROS</v>
          </cell>
        </row>
        <row r="142">
          <cell r="C142" t="str">
            <v>SAFRA LOGISTICA LTDA</v>
          </cell>
          <cell r="D142" t="str">
            <v>AGRO</v>
          </cell>
          <cell r="E142" t="str">
            <v>OUTROS</v>
          </cell>
          <cell r="F142" t="str">
            <v>SAFRALOG</v>
          </cell>
          <cell r="G142" t="str">
            <v>OUTROS</v>
          </cell>
          <cell r="H142" t="str">
            <v>OUTROS</v>
          </cell>
        </row>
        <row r="143">
          <cell r="C143" t="str">
            <v>EMPRAFE EMPRESA REVENDEDORA DE ACO E FERRO LTDA</v>
          </cell>
          <cell r="D143" t="str">
            <v>OUTROS</v>
          </cell>
          <cell r="E143" t="str">
            <v>OUTROS</v>
          </cell>
          <cell r="F143" t="str">
            <v>EMPRAFE</v>
          </cell>
          <cell r="G143" t="str">
            <v>OUTROS</v>
          </cell>
          <cell r="H143" t="str">
            <v>OUTROS</v>
          </cell>
        </row>
        <row r="144">
          <cell r="C144" t="str">
            <v>A.Y NAM COSMESTICOS</v>
          </cell>
          <cell r="D144" t="str">
            <v>AGRO</v>
          </cell>
          <cell r="E144" t="str">
            <v>OUTROS</v>
          </cell>
          <cell r="F144" t="str">
            <v>A Y NAM COSMÉTICOS</v>
          </cell>
          <cell r="G144" t="str">
            <v>OUTROS</v>
          </cell>
          <cell r="H144" t="str">
            <v>OUTROS</v>
          </cell>
        </row>
        <row r="145">
          <cell r="C145" t="str">
            <v>ADF EMPRESAS</v>
          </cell>
          <cell r="D145" t="str">
            <v>AGRO</v>
          </cell>
          <cell r="E145" t="str">
            <v>OUTROS</v>
          </cell>
          <cell r="F145" t="str">
            <v>ADF</v>
          </cell>
          <cell r="G145" t="str">
            <v>OUTROS</v>
          </cell>
          <cell r="H145" t="str">
            <v>OUTROS</v>
          </cell>
        </row>
        <row r="146">
          <cell r="C146" t="str">
            <v>AGROPASTORIL JATOBASSOS</v>
          </cell>
          <cell r="D146" t="str">
            <v>OUTROS</v>
          </cell>
          <cell r="E146" t="str">
            <v>OUTROS</v>
          </cell>
          <cell r="F146" t="str">
            <v>AGROPASTORIL</v>
          </cell>
          <cell r="G146" t="str">
            <v>OUTROS</v>
          </cell>
          <cell r="H146" t="str">
            <v>OUTROS</v>
          </cell>
        </row>
        <row r="147">
          <cell r="C147" t="str">
            <v>BG TRANPORTES</v>
          </cell>
          <cell r="D147" t="str">
            <v>AGRO</v>
          </cell>
          <cell r="E147" t="str">
            <v>OUTROS</v>
          </cell>
          <cell r="F147" t="str">
            <v>BG TRANSPORTES</v>
          </cell>
          <cell r="G147" t="str">
            <v>OUTROS</v>
          </cell>
          <cell r="H147" t="str">
            <v>OUTROS</v>
          </cell>
        </row>
        <row r="148">
          <cell r="C148" t="str">
            <v>BORGNO TRANSPORTES</v>
          </cell>
          <cell r="D148" t="str">
            <v>AGRO</v>
          </cell>
          <cell r="E148" t="str">
            <v>OUTROS</v>
          </cell>
          <cell r="F148" t="str">
            <v>BORGNO TRANSPORTES</v>
          </cell>
          <cell r="G148" t="str">
            <v>BORGNO TRANSPORTES</v>
          </cell>
          <cell r="H148" t="str">
            <v>OUTROS</v>
          </cell>
        </row>
        <row r="149">
          <cell r="C149" t="str">
            <v>CARTA GOIAS IND . E COM. DE PAPEIS S.A.</v>
          </cell>
          <cell r="D149" t="str">
            <v>OUTROS</v>
          </cell>
          <cell r="E149" t="str">
            <v>OUTROS</v>
          </cell>
          <cell r="F149" t="str">
            <v>CARTA GOIÁS</v>
          </cell>
          <cell r="G149" t="str">
            <v>OUTROS</v>
          </cell>
          <cell r="H149" t="str">
            <v>OUTROS</v>
          </cell>
        </row>
        <row r="150">
          <cell r="C150" t="str">
            <v>COCATRANS TRANSPORTES</v>
          </cell>
          <cell r="D150" t="str">
            <v>OUTROS</v>
          </cell>
          <cell r="E150" t="str">
            <v>OUTROS</v>
          </cell>
          <cell r="F150" t="str">
            <v>COOCATRANS</v>
          </cell>
          <cell r="G150" t="str">
            <v>OUTROS</v>
          </cell>
          <cell r="H150" t="str">
            <v>OUTROS</v>
          </cell>
        </row>
        <row r="151">
          <cell r="C151" t="str">
            <v>COMPASS MINERALS AMERICA DO SUL INDUSTRIA E COMERCIO S/A</v>
          </cell>
          <cell r="D151" t="str">
            <v>OUTROS</v>
          </cell>
          <cell r="E151" t="str">
            <v>OUTROS</v>
          </cell>
          <cell r="F151" t="str">
            <v>COMPASS MINERALS</v>
          </cell>
          <cell r="G151" t="str">
            <v>COMPASS MINERALS</v>
          </cell>
          <cell r="H151" t="str">
            <v>OUTROS</v>
          </cell>
        </row>
        <row r="152">
          <cell r="C152" t="str">
            <v>EUROPAPER COMERCIAL</v>
          </cell>
          <cell r="D152" t="str">
            <v>OUTROS</v>
          </cell>
          <cell r="E152" t="str">
            <v>OUTROS</v>
          </cell>
          <cell r="F152" t="str">
            <v>EUROPAPER</v>
          </cell>
          <cell r="G152" t="str">
            <v>OUTROS</v>
          </cell>
          <cell r="H152" t="str">
            <v>OUTROS</v>
          </cell>
        </row>
        <row r="153">
          <cell r="C153" t="str">
            <v>EVERESTEXS</v>
          </cell>
          <cell r="D153" t="str">
            <v>AGRO</v>
          </cell>
          <cell r="E153" t="str">
            <v>OUTROS</v>
          </cell>
          <cell r="F153" t="str">
            <v>EVEREST EXS</v>
          </cell>
          <cell r="G153" t="str">
            <v>EVEREST EXS</v>
          </cell>
          <cell r="H153" t="str">
            <v>OUTROS</v>
          </cell>
        </row>
        <row r="154">
          <cell r="C154" t="str">
            <v>FRIBON RANSPORTES</v>
          </cell>
          <cell r="D154" t="str">
            <v>AGRO</v>
          </cell>
          <cell r="E154" t="str">
            <v>OUTROS</v>
          </cell>
          <cell r="F154" t="str">
            <v>FRIBON TRANSPORTES</v>
          </cell>
          <cell r="G154" t="str">
            <v>OUTROS</v>
          </cell>
          <cell r="H154" t="str">
            <v>OUTROS</v>
          </cell>
        </row>
        <row r="155">
          <cell r="C155" t="str">
            <v>G10 TRANSPORTES</v>
          </cell>
          <cell r="D155" t="str">
            <v>AGRO</v>
          </cell>
          <cell r="E155" t="str">
            <v>OUTROS</v>
          </cell>
          <cell r="F155" t="str">
            <v>G10 TRANSPORTES</v>
          </cell>
          <cell r="G155" t="str">
            <v>G10 TRANSPORTES</v>
          </cell>
          <cell r="H155" t="str">
            <v>OUTROS</v>
          </cell>
        </row>
        <row r="156">
          <cell r="C156" t="str">
            <v>GF BLUE</v>
          </cell>
          <cell r="D156" t="str">
            <v>AGRO</v>
          </cell>
          <cell r="E156" t="str">
            <v>OUTROS</v>
          </cell>
          <cell r="F156" t="str">
            <v>GF BLUE</v>
          </cell>
          <cell r="G156" t="str">
            <v>OUTROS</v>
          </cell>
          <cell r="H156" t="str">
            <v>OUTROS</v>
          </cell>
        </row>
        <row r="157">
          <cell r="C157" t="str">
            <v>GMC TRANSPORTES</v>
          </cell>
          <cell r="D157" t="str">
            <v>OUTROS</v>
          </cell>
          <cell r="E157" t="str">
            <v>OUTROS</v>
          </cell>
          <cell r="F157" t="str">
            <v>GMC TRANSPORTES</v>
          </cell>
          <cell r="G157" t="str">
            <v>GMC TRANSPORTES</v>
          </cell>
          <cell r="H157" t="str">
            <v>OUTROS</v>
          </cell>
        </row>
        <row r="158">
          <cell r="C158" t="str">
            <v>GRANLIDER TRANSPORTESS</v>
          </cell>
          <cell r="D158" t="str">
            <v>AGRO</v>
          </cell>
          <cell r="E158" t="str">
            <v>OUTROS</v>
          </cell>
          <cell r="F158" t="str">
            <v>GRANLIDER</v>
          </cell>
          <cell r="G158" t="str">
            <v>OUTROS</v>
          </cell>
          <cell r="H158" t="str">
            <v>OUTROS</v>
          </cell>
        </row>
        <row r="159">
          <cell r="C159" t="str">
            <v>JS TRANSPORTESS</v>
          </cell>
          <cell r="D159" t="str">
            <v>OUTROS</v>
          </cell>
          <cell r="E159" t="str">
            <v>OUTROS</v>
          </cell>
          <cell r="F159" t="str">
            <v>JS TRANSPORTES</v>
          </cell>
          <cell r="G159" t="str">
            <v>OUTROS</v>
          </cell>
          <cell r="H159" t="str">
            <v>OUTROS</v>
          </cell>
        </row>
        <row r="160">
          <cell r="C160" t="str">
            <v>LATASA</v>
          </cell>
          <cell r="D160" t="str">
            <v>OUTROS</v>
          </cell>
          <cell r="E160" t="str">
            <v>OUTROS</v>
          </cell>
          <cell r="F160" t="str">
            <v>LATASA</v>
          </cell>
          <cell r="G160" t="str">
            <v>OUTROS</v>
          </cell>
          <cell r="H160" t="str">
            <v>OUTROS</v>
          </cell>
        </row>
        <row r="161">
          <cell r="C161" t="str">
            <v>MOREIRA E PIETREK</v>
          </cell>
          <cell r="D161" t="str">
            <v>OUTROS</v>
          </cell>
          <cell r="E161" t="str">
            <v>OUTROS</v>
          </cell>
          <cell r="F161" t="str">
            <v>MOREIRA &amp; PIETREK</v>
          </cell>
          <cell r="G161" t="str">
            <v>OUTROS</v>
          </cell>
          <cell r="H161" t="str">
            <v>OUTROS</v>
          </cell>
        </row>
        <row r="162">
          <cell r="C162" t="str">
            <v>NELORE TRANSPORTES</v>
          </cell>
          <cell r="D162" t="str">
            <v>AGRO</v>
          </cell>
          <cell r="E162" t="str">
            <v>OUTROS</v>
          </cell>
          <cell r="F162" t="str">
            <v>NELORE</v>
          </cell>
          <cell r="G162" t="str">
            <v>OUTROS</v>
          </cell>
          <cell r="H162" t="str">
            <v>OUTROS</v>
          </cell>
        </row>
        <row r="163">
          <cell r="C163" t="str">
            <v>PACTUS LOGISTICAS</v>
          </cell>
          <cell r="D163" t="str">
            <v>AGRO</v>
          </cell>
          <cell r="E163" t="str">
            <v>OUTROS</v>
          </cell>
          <cell r="F163" t="str">
            <v>PACTUS LOGÍSTICA</v>
          </cell>
          <cell r="G163" t="str">
            <v>OUTROS</v>
          </cell>
          <cell r="H163" t="str">
            <v>OUTROS</v>
          </cell>
        </row>
        <row r="164">
          <cell r="C164" t="str">
            <v>PANCAR RANSPORTES</v>
          </cell>
          <cell r="D164" t="str">
            <v>AGRO</v>
          </cell>
          <cell r="E164" t="str">
            <v>OUTROS</v>
          </cell>
          <cell r="F164" t="str">
            <v>PANCAR TRANSPORTES</v>
          </cell>
          <cell r="G164" t="str">
            <v>OUTROS</v>
          </cell>
          <cell r="H164" t="str">
            <v>OUTROS</v>
          </cell>
        </row>
        <row r="165">
          <cell r="C165" t="str">
            <v>PISOTRAT PISOS</v>
          </cell>
          <cell r="D165" t="str">
            <v>AGRO</v>
          </cell>
          <cell r="E165" t="str">
            <v>OUTROS</v>
          </cell>
          <cell r="F165" t="str">
            <v>PISOTRAT PISOS</v>
          </cell>
          <cell r="G165" t="str">
            <v>OUTROS</v>
          </cell>
          <cell r="H165" t="str">
            <v>OUTROS</v>
          </cell>
        </row>
        <row r="166">
          <cell r="C166" t="str">
            <v>RCR QUALITY</v>
          </cell>
          <cell r="D166" t="str">
            <v>OUTROS</v>
          </cell>
          <cell r="E166" t="str">
            <v>OUTROS</v>
          </cell>
          <cell r="F166" t="str">
            <v>RCR QUALITY</v>
          </cell>
          <cell r="G166" t="str">
            <v>OUTROS</v>
          </cell>
          <cell r="H166" t="str">
            <v>OUTROS</v>
          </cell>
        </row>
        <row r="167">
          <cell r="C167" t="str">
            <v>REFINARIA DE SAL</v>
          </cell>
          <cell r="D167" t="str">
            <v>OUTROS</v>
          </cell>
          <cell r="E167" t="str">
            <v>OUTROS</v>
          </cell>
          <cell r="F167" t="str">
            <v>REFINARIA DE SAL GARÇA</v>
          </cell>
          <cell r="G167" t="str">
            <v>OUTROS</v>
          </cell>
          <cell r="H167" t="str">
            <v>OUTROS</v>
          </cell>
        </row>
        <row r="168">
          <cell r="C168" t="str">
            <v>REIPEL</v>
          </cell>
          <cell r="D168" t="str">
            <v>OUTROS</v>
          </cell>
          <cell r="E168" t="str">
            <v>OUTROS</v>
          </cell>
          <cell r="F168" t="str">
            <v>REIPEL RECICLAGEM</v>
          </cell>
          <cell r="G168" t="str">
            <v>OUTROS</v>
          </cell>
          <cell r="H168" t="str">
            <v>OUTROS</v>
          </cell>
        </row>
        <row r="169">
          <cell r="C169" t="str">
            <v>RJ DA SILVA</v>
          </cell>
          <cell r="D169" t="str">
            <v>OUTROS</v>
          </cell>
          <cell r="E169" t="str">
            <v>OUTROS</v>
          </cell>
          <cell r="F169" t="str">
            <v>RJ DA SILVA BRITO</v>
          </cell>
          <cell r="G169" t="str">
            <v>OUTROS</v>
          </cell>
          <cell r="H169" t="str">
            <v>OUTROS</v>
          </cell>
        </row>
        <row r="170">
          <cell r="C170" t="str">
            <v>RODOLIVIA TRANSPORTESS</v>
          </cell>
          <cell r="D170" t="str">
            <v>AGRO</v>
          </cell>
          <cell r="E170" t="str">
            <v>OUTROS</v>
          </cell>
          <cell r="F170" t="str">
            <v>RODOLIVIA</v>
          </cell>
          <cell r="G170" t="str">
            <v>OUTROS</v>
          </cell>
          <cell r="H170" t="str">
            <v>OUTROS</v>
          </cell>
        </row>
        <row r="171">
          <cell r="C171" t="str">
            <v>S E TRANSPORTES</v>
          </cell>
          <cell r="D171" t="str">
            <v>AGRO</v>
          </cell>
          <cell r="E171" t="str">
            <v>OUTROS</v>
          </cell>
          <cell r="F171" t="str">
            <v>S.E. TRANSPORTES</v>
          </cell>
          <cell r="G171" t="str">
            <v>OUTROS</v>
          </cell>
          <cell r="H171" t="str">
            <v>OUTROS</v>
          </cell>
        </row>
        <row r="172">
          <cell r="C172" t="str">
            <v>SALINA SOLEDADE</v>
          </cell>
          <cell r="D172" t="str">
            <v>OUTROS</v>
          </cell>
          <cell r="E172" t="str">
            <v>OUTROS</v>
          </cell>
          <cell r="F172" t="str">
            <v>SALINA SOLEDADE</v>
          </cell>
          <cell r="G172" t="str">
            <v>OUTROS</v>
          </cell>
          <cell r="H172" t="str">
            <v>OUTROS</v>
          </cell>
        </row>
        <row r="173">
          <cell r="C173" t="str">
            <v xml:space="preserve">TRANSCARBONATO </v>
          </cell>
          <cell r="D173" t="str">
            <v>AGRO</v>
          </cell>
          <cell r="E173" t="str">
            <v>OUTROS</v>
          </cell>
          <cell r="F173" t="str">
            <v>TRANSCARBONATO</v>
          </cell>
          <cell r="G173" t="str">
            <v>OUTROS</v>
          </cell>
          <cell r="H173" t="str">
            <v>OUTROS</v>
          </cell>
        </row>
        <row r="174">
          <cell r="C174" t="str">
            <v>TRANSPORTADORA SANA</v>
          </cell>
          <cell r="D174" t="str">
            <v>OUTROS</v>
          </cell>
          <cell r="E174" t="str">
            <v>OUTROS</v>
          </cell>
          <cell r="F174" t="str">
            <v>TRANSPORTADORA SANA</v>
          </cell>
          <cell r="G174" t="str">
            <v>OUTROS</v>
          </cell>
          <cell r="H174" t="str">
            <v>OUTROS</v>
          </cell>
        </row>
        <row r="175">
          <cell r="C175" t="str">
            <v>TRANSUL</v>
          </cell>
          <cell r="D175" t="str">
            <v>AGRO</v>
          </cell>
          <cell r="E175" t="str">
            <v>OUTROS</v>
          </cell>
          <cell r="F175" t="str">
            <v>TRANSUL</v>
          </cell>
          <cell r="G175" t="str">
            <v>OUTROS</v>
          </cell>
          <cell r="H175" t="str">
            <v>OUTROS</v>
          </cell>
        </row>
        <row r="176">
          <cell r="C176" t="str">
            <v>VIACODE IMPRESSOS DE SEGURANCA</v>
          </cell>
          <cell r="D176" t="str">
            <v>OUTROS</v>
          </cell>
          <cell r="E176" t="str">
            <v>OUTROS</v>
          </cell>
          <cell r="F176" t="str">
            <v>VIACODE</v>
          </cell>
          <cell r="G176" t="str">
            <v>OUTROS</v>
          </cell>
          <cell r="H176" t="str">
            <v>OUTROS</v>
          </cell>
        </row>
        <row r="177">
          <cell r="C177" t="str">
            <v>YNOVA TRANSPORTES</v>
          </cell>
          <cell r="D177" t="str">
            <v>AGRO</v>
          </cell>
          <cell r="E177" t="str">
            <v>OUTROS</v>
          </cell>
          <cell r="F177" t="str">
            <v>YNOVA</v>
          </cell>
          <cell r="G177" t="str">
            <v>OUTROS</v>
          </cell>
          <cell r="H177" t="str">
            <v>OUTROS</v>
          </cell>
        </row>
        <row r="178">
          <cell r="C178" t="str">
            <v>AÇAI FRUIT</v>
          </cell>
          <cell r="D178" t="str">
            <v>OUTROS</v>
          </cell>
          <cell r="E178" t="str">
            <v>OUTROS</v>
          </cell>
          <cell r="F178" t="str">
            <v>AÇAÍ FRUIT</v>
          </cell>
          <cell r="G178" t="str">
            <v>OUTROS</v>
          </cell>
          <cell r="H178" t="str">
            <v>OUTROS</v>
          </cell>
        </row>
        <row r="179">
          <cell r="C179" t="str">
            <v>AMBEV S.A</v>
          </cell>
          <cell r="D179" t="str">
            <v>AMBEV</v>
          </cell>
          <cell r="E179" t="str">
            <v>AMBEV</v>
          </cell>
          <cell r="F179" t="str">
            <v>AMBEV</v>
          </cell>
          <cell r="G179" t="str">
            <v>AMBEV</v>
          </cell>
          <cell r="H179" t="str">
            <v>AMBEV</v>
          </cell>
        </row>
        <row r="180">
          <cell r="C180" t="str">
            <v xml:space="preserve">BIOPAPERS </v>
          </cell>
          <cell r="D180" t="str">
            <v>OUTROS</v>
          </cell>
          <cell r="E180" t="str">
            <v>OUTROS</v>
          </cell>
          <cell r="F180" t="str">
            <v>BIOPAPERS</v>
          </cell>
          <cell r="G180" t="str">
            <v>OUTROS</v>
          </cell>
          <cell r="H180" t="str">
            <v>OUTROS</v>
          </cell>
        </row>
        <row r="181">
          <cell r="C181" t="str">
            <v>BRAVO</v>
          </cell>
          <cell r="D181" t="str">
            <v>AGRO</v>
          </cell>
          <cell r="E181" t="str">
            <v>OUTROS</v>
          </cell>
          <cell r="F181" t="str">
            <v>BRAVO</v>
          </cell>
          <cell r="G181" t="str">
            <v>BRAVO</v>
          </cell>
          <cell r="H181" t="str">
            <v>OUTROS</v>
          </cell>
        </row>
        <row r="182">
          <cell r="C182" t="str">
            <v>C&amp;F COMERCIO</v>
          </cell>
          <cell r="D182" t="str">
            <v>OUTROS</v>
          </cell>
          <cell r="E182" t="str">
            <v>OUTROS</v>
          </cell>
          <cell r="F182" t="str">
            <v>C&amp;F INSUMOS AGRÍCOLAS</v>
          </cell>
          <cell r="G182" t="str">
            <v>OUTROS</v>
          </cell>
          <cell r="H182" t="str">
            <v>OUTROS</v>
          </cell>
        </row>
        <row r="183">
          <cell r="C183" t="str">
            <v>CAED LOGISTICA E TRANSPORTES</v>
          </cell>
          <cell r="D183" t="str">
            <v>AGRO</v>
          </cell>
          <cell r="E183" t="str">
            <v>OUTROS</v>
          </cell>
          <cell r="F183" t="str">
            <v>CAED LOGÍSTICA</v>
          </cell>
          <cell r="G183" t="str">
            <v>OUTROS</v>
          </cell>
          <cell r="H183" t="str">
            <v>OUTROS</v>
          </cell>
        </row>
        <row r="184">
          <cell r="C184" t="str">
            <v>CARTA GOIAS</v>
          </cell>
          <cell r="D184" t="str">
            <v>OUTROS</v>
          </cell>
          <cell r="E184" t="str">
            <v>OUTROS</v>
          </cell>
          <cell r="F184" t="str">
            <v>CARTA GOIÁS</v>
          </cell>
          <cell r="G184" t="str">
            <v>OUTROS</v>
          </cell>
          <cell r="H184" t="str">
            <v>OUTROS</v>
          </cell>
        </row>
        <row r="185">
          <cell r="C185" t="str">
            <v>COMPASS</v>
          </cell>
          <cell r="D185" t="str">
            <v>OUTROS</v>
          </cell>
          <cell r="E185" t="str">
            <v>OUTROS</v>
          </cell>
          <cell r="F185" t="str">
            <v>COMPASS MINERALS</v>
          </cell>
          <cell r="G185" t="str">
            <v>COMPASS MINERALS</v>
          </cell>
          <cell r="H185" t="str">
            <v>OUTROS</v>
          </cell>
        </row>
        <row r="186">
          <cell r="C186" t="str">
            <v>DIPLOGRAPH ARTES</v>
          </cell>
          <cell r="D186" t="str">
            <v>OUTROS</v>
          </cell>
          <cell r="E186" t="str">
            <v>OUTROS</v>
          </cell>
          <cell r="F186" t="str">
            <v>DIPLOGRAPH</v>
          </cell>
          <cell r="G186" t="str">
            <v>OUTROS</v>
          </cell>
          <cell r="H186" t="str">
            <v>OUTROS</v>
          </cell>
        </row>
        <row r="187">
          <cell r="C187" t="str">
            <v>FRIBON</v>
          </cell>
          <cell r="D187" t="str">
            <v>AGRO</v>
          </cell>
          <cell r="E187" t="str">
            <v>OUTROS</v>
          </cell>
          <cell r="F187" t="str">
            <v>FRIBON TRANSPORTES</v>
          </cell>
          <cell r="G187" t="str">
            <v>OUTROS</v>
          </cell>
          <cell r="H187" t="str">
            <v>OUTROS</v>
          </cell>
        </row>
        <row r="188">
          <cell r="C188" t="str">
            <v>G10 TRANSPORTES LDTA</v>
          </cell>
          <cell r="D188" t="str">
            <v>AGRO</v>
          </cell>
          <cell r="E188" t="str">
            <v>OUTROS</v>
          </cell>
          <cell r="F188" t="str">
            <v>G10 TRANSPORTES</v>
          </cell>
          <cell r="G188" t="str">
            <v>G10 TRANSPORTES</v>
          </cell>
          <cell r="H188" t="str">
            <v>OUTROS</v>
          </cell>
        </row>
        <row r="189">
          <cell r="C189" t="str">
            <v>MEXTRA ENGENHARIA</v>
          </cell>
          <cell r="D189" t="str">
            <v>OUTROS</v>
          </cell>
          <cell r="E189" t="str">
            <v>OUTROS</v>
          </cell>
          <cell r="F189" t="str">
            <v>MEXTRA</v>
          </cell>
          <cell r="G189" t="str">
            <v>OUTROS</v>
          </cell>
          <cell r="H189" t="str">
            <v>OUTROS</v>
          </cell>
        </row>
        <row r="190">
          <cell r="C190" t="str">
            <v>MINERALS TECHNOLOGIES</v>
          </cell>
          <cell r="D190" t="str">
            <v>OUTROS</v>
          </cell>
          <cell r="E190" t="str">
            <v>OUTROS</v>
          </cell>
          <cell r="F190" t="str">
            <v>COMPASS MINERALS</v>
          </cell>
          <cell r="G190" t="str">
            <v>COMPASS MINERALS</v>
          </cell>
          <cell r="H190" t="str">
            <v>OUTROS</v>
          </cell>
        </row>
        <row r="191">
          <cell r="C191" t="str">
            <v>MULTIVERDE PAPEIS</v>
          </cell>
          <cell r="D191" t="str">
            <v>OUTROS</v>
          </cell>
          <cell r="E191" t="str">
            <v>OUTROS</v>
          </cell>
          <cell r="F191" t="str">
            <v>MULTIVERDE</v>
          </cell>
          <cell r="G191" t="str">
            <v>MULTIVERDE</v>
          </cell>
          <cell r="H191" t="str">
            <v>OUTROS</v>
          </cell>
        </row>
        <row r="192">
          <cell r="C192" t="str">
            <v>REFINARIA SAL GARÇA</v>
          </cell>
          <cell r="D192" t="str">
            <v>OUTROS</v>
          </cell>
          <cell r="E192" t="str">
            <v>OUTROS</v>
          </cell>
          <cell r="F192" t="str">
            <v>REFINARIA DE SAL GARÇA</v>
          </cell>
          <cell r="G192" t="str">
            <v>OUTROS</v>
          </cell>
          <cell r="H192" t="str">
            <v>OUTROS</v>
          </cell>
        </row>
        <row r="193">
          <cell r="C193" t="str">
            <v>SANTOS COMERCIO DE PRODUTOS</v>
          </cell>
          <cell r="D193" t="str">
            <v>OUTROS</v>
          </cell>
          <cell r="E193" t="str">
            <v>OUTROS</v>
          </cell>
          <cell r="F193" t="str">
            <v>SANTOS COMÉRCIO</v>
          </cell>
          <cell r="G193" t="str">
            <v>OUTROS</v>
          </cell>
          <cell r="H193" t="str">
            <v>OUTROS</v>
          </cell>
        </row>
        <row r="194">
          <cell r="C194" t="str">
            <v>SUZANO S.A</v>
          </cell>
          <cell r="D194" t="str">
            <v>OUTROS</v>
          </cell>
          <cell r="E194" t="str">
            <v>OUTROS</v>
          </cell>
          <cell r="F194" t="str">
            <v>SUZANO</v>
          </cell>
          <cell r="G194" t="str">
            <v>OUTROS</v>
          </cell>
          <cell r="H194" t="str">
            <v>OUTROS</v>
          </cell>
        </row>
        <row r="195">
          <cell r="C195" t="str">
            <v>TECNOPERFIL ALUMINIO</v>
          </cell>
          <cell r="D195" t="str">
            <v>CBA</v>
          </cell>
          <cell r="E195" t="str">
            <v>CBA</v>
          </cell>
          <cell r="F195" t="str">
            <v>CBA</v>
          </cell>
          <cell r="G195" t="str">
            <v>CBA</v>
          </cell>
          <cell r="H195" t="str">
            <v>CBA</v>
          </cell>
        </row>
        <row r="196">
          <cell r="C196" t="str">
            <v>THERMOJET DO BRASIL</v>
          </cell>
          <cell r="D196" t="str">
            <v>OUTROS</v>
          </cell>
          <cell r="E196" t="str">
            <v>OUTROS</v>
          </cell>
          <cell r="F196" t="str">
            <v>THERMOJET</v>
          </cell>
          <cell r="G196" t="str">
            <v>OUTROS</v>
          </cell>
          <cell r="H196" t="str">
            <v>OUTROS</v>
          </cell>
        </row>
        <row r="197">
          <cell r="C197" t="str">
            <v>VOTORANTIM CIMENTOS</v>
          </cell>
          <cell r="D197" t="str">
            <v>OUTROS</v>
          </cell>
          <cell r="E197" t="str">
            <v>OUTROS</v>
          </cell>
          <cell r="F197" t="str">
            <v>VOTORANTIM</v>
          </cell>
          <cell r="G197" t="str">
            <v>VOTORANTIM</v>
          </cell>
          <cell r="H197" t="str">
            <v>NOVOS</v>
          </cell>
        </row>
        <row r="198">
          <cell r="C198" t="str">
            <v>OTTO TRANSPORTE E LOGISTICA EIRELI</v>
          </cell>
          <cell r="D198" t="str">
            <v>OUTROS</v>
          </cell>
          <cell r="E198" t="str">
            <v>OUTROS</v>
          </cell>
          <cell r="F198" t="str">
            <v>OTTO TRANSPORTE</v>
          </cell>
          <cell r="G198" t="str">
            <v>OUTROS</v>
          </cell>
          <cell r="H198" t="str">
            <v>OUTROS</v>
          </cell>
        </row>
        <row r="199">
          <cell r="C199" t="str">
            <v>PINA FLOWER COSMETICOS EIRELI</v>
          </cell>
          <cell r="D199" t="str">
            <v>OUTROS</v>
          </cell>
          <cell r="E199" t="str">
            <v>OUTROS</v>
          </cell>
          <cell r="F199" t="str">
            <v>PINA FLOWER COSMÉTICOS</v>
          </cell>
          <cell r="G199" t="str">
            <v>OUTROS</v>
          </cell>
          <cell r="H199" t="str">
            <v>OUTROS</v>
          </cell>
        </row>
        <row r="200">
          <cell r="C200" t="str">
            <v>LATIKA</v>
          </cell>
          <cell r="D200" t="str">
            <v>OUTROS</v>
          </cell>
          <cell r="E200" t="str">
            <v>OUTROS</v>
          </cell>
          <cell r="F200" t="str">
            <v>LATIKA</v>
          </cell>
          <cell r="G200" t="str">
            <v>OUTROS</v>
          </cell>
          <cell r="H200" t="str">
            <v>OUTROS</v>
          </cell>
        </row>
        <row r="201">
          <cell r="C201" t="str">
            <v>ALFA TRANSPORTES</v>
          </cell>
          <cell r="D201" t="str">
            <v>AGRO</v>
          </cell>
          <cell r="E201" t="str">
            <v>OUTROS</v>
          </cell>
          <cell r="F201" t="str">
            <v>ALFA TRANSPORTES</v>
          </cell>
          <cell r="G201" t="str">
            <v>OUTROS</v>
          </cell>
          <cell r="H201" t="str">
            <v>OUTROS</v>
          </cell>
        </row>
        <row r="202">
          <cell r="C202" t="str">
            <v>J E D LOGISTICA E TRANSPORTES RODOVIARIOS LTDA</v>
          </cell>
          <cell r="D202" t="str">
            <v>OUTROS</v>
          </cell>
          <cell r="E202" t="str">
            <v>OUTROS</v>
          </cell>
          <cell r="F202" t="str">
            <v>J&amp;D LOGÍSTICA E TRANSPORTES</v>
          </cell>
          <cell r="G202" t="str">
            <v>OUTROS</v>
          </cell>
          <cell r="H202" t="str">
            <v>OUTROS</v>
          </cell>
        </row>
        <row r="203">
          <cell r="C203" t="str">
            <v>LATIKA IMPORTAÇÃO E EXPORTAÇÃO LTDA ME</v>
          </cell>
          <cell r="D203" t="str">
            <v>OUTROS</v>
          </cell>
          <cell r="E203" t="str">
            <v>OUTROS</v>
          </cell>
          <cell r="F203" t="str">
            <v>LATIKA</v>
          </cell>
          <cell r="G203" t="str">
            <v>OUTROS</v>
          </cell>
          <cell r="H203" t="str">
            <v>OUTROS</v>
          </cell>
        </row>
        <row r="204">
          <cell r="C204" t="str">
            <v>TRENDPEL INDUSTRIA DE EMBALAGENS LTDA</v>
          </cell>
          <cell r="D204" t="str">
            <v>OUTROS</v>
          </cell>
          <cell r="E204" t="str">
            <v>OUTROS</v>
          </cell>
          <cell r="F204" t="str">
            <v>TRENDPEL</v>
          </cell>
          <cell r="G204" t="str">
            <v>OUTROS</v>
          </cell>
          <cell r="H204" t="str">
            <v>OUTROS</v>
          </cell>
        </row>
        <row r="205">
          <cell r="C205" t="str">
            <v>SENDAS DISTRIBUIDORA S/A</v>
          </cell>
          <cell r="D205" t="str">
            <v>OUTROS</v>
          </cell>
          <cell r="E205" t="str">
            <v>OUTROS</v>
          </cell>
          <cell r="F205" t="str">
            <v>SENDAS DISTRIBUIDORA</v>
          </cell>
          <cell r="G205" t="str">
            <v>OUTROS</v>
          </cell>
          <cell r="H205" t="str">
            <v>OUTROS</v>
          </cell>
        </row>
        <row r="206">
          <cell r="C206" t="str">
            <v>SUZANO PAPEL E CELULOSE S.A</v>
          </cell>
          <cell r="D206" t="str">
            <v>OUTROS</v>
          </cell>
          <cell r="E206" t="str">
            <v>OUTROS</v>
          </cell>
          <cell r="F206" t="str">
            <v>SUZANO</v>
          </cell>
          <cell r="G206" t="str">
            <v>OUTROS</v>
          </cell>
          <cell r="H206" t="str">
            <v>OUTROS</v>
          </cell>
        </row>
        <row r="207">
          <cell r="C207" t="str">
            <v>TRANSVALE SOLUCOES EM TRANSPORTE</v>
          </cell>
          <cell r="D207" t="str">
            <v>AGRO</v>
          </cell>
          <cell r="E207" t="str">
            <v>OUTROS</v>
          </cell>
          <cell r="F207" t="str">
            <v>TRANSVALE</v>
          </cell>
          <cell r="G207" t="str">
            <v>OUTROS</v>
          </cell>
          <cell r="H207" t="str">
            <v>OUTROS</v>
          </cell>
        </row>
        <row r="208">
          <cell r="C208" t="str">
            <v>TINDIANA LOGISTICA E TRANSPORTES LTDA</v>
          </cell>
          <cell r="D208" t="str">
            <v>AGRO</v>
          </cell>
          <cell r="E208" t="str">
            <v>OUTROS</v>
          </cell>
          <cell r="F208" t="str">
            <v>TINDIANA</v>
          </cell>
          <cell r="G208" t="str">
            <v>TINDIANA</v>
          </cell>
          <cell r="H208" t="str">
            <v>OUTROS</v>
          </cell>
        </row>
        <row r="209">
          <cell r="C209" t="str">
            <v>ALFA MINAS COMERCIAL</v>
          </cell>
          <cell r="D209" t="str">
            <v>AGRO</v>
          </cell>
          <cell r="E209" t="str">
            <v>OUTROS</v>
          </cell>
          <cell r="F209" t="str">
            <v>ALFA ALUMINIO</v>
          </cell>
          <cell r="G209" t="str">
            <v>OUTROS</v>
          </cell>
          <cell r="H209" t="str">
            <v>OUTROS</v>
          </cell>
        </row>
        <row r="210">
          <cell r="C210" t="str">
            <v>AGILGROUP LOGISTICA LTDA</v>
          </cell>
          <cell r="D210" t="str">
            <v>AGRO</v>
          </cell>
          <cell r="E210" t="str">
            <v>OUTROS</v>
          </cell>
          <cell r="F210" t="str">
            <v>AGILGROUP</v>
          </cell>
          <cell r="G210" t="str">
            <v>OUTROS</v>
          </cell>
          <cell r="H210" t="str">
            <v>OUTROS</v>
          </cell>
        </row>
        <row r="211">
          <cell r="C211" t="str">
            <v>ALBIERI TRANSPORTE E LOGISTICA LTDA</v>
          </cell>
          <cell r="D211" t="str">
            <v>OUTROS</v>
          </cell>
          <cell r="E211" t="str">
            <v>OUTROS</v>
          </cell>
          <cell r="F211" t="str">
            <v>ALFA TRANSPORTES</v>
          </cell>
          <cell r="G211" t="str">
            <v>OUTROS</v>
          </cell>
          <cell r="H211" t="str">
            <v>OUTROS</v>
          </cell>
        </row>
        <row r="212">
          <cell r="C212" t="str">
            <v>ALFA MINAS COMERCIAL DE ALUMINIO LT DA EPP</v>
          </cell>
          <cell r="D212" t="str">
            <v>AGRO</v>
          </cell>
          <cell r="E212" t="str">
            <v>OUTROS</v>
          </cell>
          <cell r="F212" t="str">
            <v>ALFA ALUMINIO</v>
          </cell>
          <cell r="G212" t="str">
            <v>OUTROS</v>
          </cell>
          <cell r="H212" t="str">
            <v>OUTROS</v>
          </cell>
        </row>
        <row r="213">
          <cell r="C213" t="str">
            <v>ALUX DO BRASIL INDUSTRIA E COMERCIO LTDA.</v>
          </cell>
          <cell r="D213" t="str">
            <v>OUTROS</v>
          </cell>
          <cell r="E213" t="str">
            <v>OUTROS</v>
          </cell>
          <cell r="F213" t="str">
            <v>ALUX DO BRASIL</v>
          </cell>
          <cell r="G213" t="str">
            <v>OUTROS</v>
          </cell>
          <cell r="H213" t="str">
            <v>OUTROS</v>
          </cell>
        </row>
        <row r="214">
          <cell r="C214" t="str">
            <v>AMBEV - SAPUCAIA DO SUL</v>
          </cell>
          <cell r="D214" t="str">
            <v>AMBEV</v>
          </cell>
          <cell r="E214" t="str">
            <v>AMBEV</v>
          </cell>
          <cell r="F214" t="str">
            <v>AMBEV</v>
          </cell>
          <cell r="G214" t="str">
            <v>AMBEV</v>
          </cell>
          <cell r="H214" t="str">
            <v>AMBEV</v>
          </cell>
        </row>
        <row r="215">
          <cell r="C215" t="str">
            <v>AMBEV S.A AGUDOS</v>
          </cell>
          <cell r="D215" t="str">
            <v>AMBEV</v>
          </cell>
          <cell r="E215" t="str">
            <v>AMBEV</v>
          </cell>
          <cell r="F215" t="str">
            <v>AMBEV</v>
          </cell>
          <cell r="G215" t="str">
            <v>AMBEV</v>
          </cell>
          <cell r="H215" t="str">
            <v>AMBEV</v>
          </cell>
        </row>
        <row r="216">
          <cell r="C216" t="str">
            <v>AMBEV S.A VIAMAO</v>
          </cell>
          <cell r="D216" t="str">
            <v>AMBEV</v>
          </cell>
          <cell r="E216" t="str">
            <v>AMBEV</v>
          </cell>
          <cell r="F216" t="str">
            <v>AMBEV</v>
          </cell>
          <cell r="G216" t="str">
            <v>AMBEV</v>
          </cell>
          <cell r="H216" t="str">
            <v>AMBEV</v>
          </cell>
        </row>
        <row r="217">
          <cell r="C217" t="str">
            <v>AMBEV S.A. - ANÁPOLIS</v>
          </cell>
          <cell r="D217" t="str">
            <v>AMBEV</v>
          </cell>
          <cell r="E217" t="str">
            <v>AMBEV</v>
          </cell>
          <cell r="F217" t="str">
            <v>AMBEV</v>
          </cell>
          <cell r="G217" t="str">
            <v>AMBEV</v>
          </cell>
          <cell r="H217" t="str">
            <v>AMBEV</v>
          </cell>
        </row>
        <row r="218">
          <cell r="C218" t="str">
            <v>AMBEV S.A. - EXTREMA</v>
          </cell>
          <cell r="D218" t="str">
            <v>AMBEV</v>
          </cell>
          <cell r="E218" t="str">
            <v>AMBEV</v>
          </cell>
          <cell r="F218" t="str">
            <v>AMBEV</v>
          </cell>
          <cell r="G218" t="str">
            <v>AMBEV</v>
          </cell>
          <cell r="H218" t="str">
            <v>AMBEV</v>
          </cell>
        </row>
        <row r="219">
          <cell r="C219" t="str">
            <v>AMBEV S.A. - JACAREÍ</v>
          </cell>
          <cell r="D219" t="str">
            <v>AMBEV</v>
          </cell>
          <cell r="E219" t="str">
            <v>AMBEV</v>
          </cell>
          <cell r="F219" t="str">
            <v>AMBEV</v>
          </cell>
          <cell r="G219" t="str">
            <v>AMBEV</v>
          </cell>
          <cell r="H219" t="str">
            <v>AMBEV</v>
          </cell>
        </row>
        <row r="220">
          <cell r="C220" t="str">
            <v>ANGELO AURICCHIO E CIA LTDA</v>
          </cell>
          <cell r="D220" t="str">
            <v>OUTROS</v>
          </cell>
          <cell r="E220" t="str">
            <v>OUTROS</v>
          </cell>
          <cell r="F220" t="str">
            <v>CONSERVAS OLE</v>
          </cell>
          <cell r="G220" t="str">
            <v>OUTROS</v>
          </cell>
          <cell r="H220" t="str">
            <v>OUTROS</v>
          </cell>
        </row>
        <row r="221">
          <cell r="C221" t="str">
            <v>FCD ARMAZENAGEM E DISTRIBUIÇÃO LTDA</v>
          </cell>
          <cell r="D221" t="str">
            <v>OUTROS</v>
          </cell>
          <cell r="E221" t="str">
            <v>OUTROS</v>
          </cell>
          <cell r="F221" t="str">
            <v>FCD ARMAZENAGEM</v>
          </cell>
          <cell r="G221" t="str">
            <v>OUTROS</v>
          </cell>
          <cell r="H221" t="str">
            <v>OUTROS</v>
          </cell>
        </row>
        <row r="222">
          <cell r="C222" t="str">
            <v>IMERYS ITATEX SOLUCOES MINERAIS LTDA</v>
          </cell>
          <cell r="D222" t="str">
            <v>OUTROS</v>
          </cell>
          <cell r="E222" t="str">
            <v>IMERYS</v>
          </cell>
          <cell r="F222" t="str">
            <v>IMERYS</v>
          </cell>
          <cell r="G222" t="str">
            <v>IMERYS</v>
          </cell>
          <cell r="H222" t="str">
            <v>IMERYS</v>
          </cell>
        </row>
        <row r="223">
          <cell r="C223" t="str">
            <v>LAUNDROHELP LTDA</v>
          </cell>
          <cell r="D223" t="str">
            <v>OUTROS</v>
          </cell>
          <cell r="E223" t="str">
            <v>OUTROS</v>
          </cell>
          <cell r="F223" t="str">
            <v>LAUNDROHELP</v>
          </cell>
          <cell r="G223" t="str">
            <v>OUTROS</v>
          </cell>
          <cell r="H223" t="str">
            <v>OUTROS</v>
          </cell>
        </row>
        <row r="224">
          <cell r="C224" t="str">
            <v>OLIVEIRA NEPOMUCENO TRANSPORTES E LOGISTICA</v>
          </cell>
          <cell r="D224" t="str">
            <v>OUTROS</v>
          </cell>
          <cell r="E224" t="str">
            <v>OUTROS</v>
          </cell>
          <cell r="F224" t="str">
            <v>OST TRANSPORTES</v>
          </cell>
          <cell r="G224" t="str">
            <v>OST TRANSPORTES</v>
          </cell>
          <cell r="H224" t="str">
            <v>OUTROS</v>
          </cell>
        </row>
        <row r="225">
          <cell r="C225" t="str">
            <v>REAL TRANSPORTES</v>
          </cell>
          <cell r="D225" t="str">
            <v>OUTROS</v>
          </cell>
          <cell r="E225" t="str">
            <v>OUTROS</v>
          </cell>
          <cell r="F225" t="str">
            <v>REAL TRANSPORTES</v>
          </cell>
          <cell r="G225" t="str">
            <v>OUTROS</v>
          </cell>
          <cell r="H225" t="str">
            <v>OUTROS</v>
          </cell>
        </row>
        <row r="226">
          <cell r="C226" t="str">
            <v>RODOPRIMA GLOBAL LOGISTICA LTDA</v>
          </cell>
          <cell r="D226" t="str">
            <v>OUTROS</v>
          </cell>
          <cell r="E226" t="str">
            <v>OUTROS</v>
          </cell>
          <cell r="F226" t="str">
            <v>RODOPRIMA TRANSPORTES</v>
          </cell>
          <cell r="G226" t="str">
            <v>OUTROS</v>
          </cell>
          <cell r="H226" t="str">
            <v>OUTROS</v>
          </cell>
        </row>
        <row r="227">
          <cell r="C227" t="str">
            <v>SANTOS BRASIL LOGISTICA S.A.</v>
          </cell>
          <cell r="D227" t="str">
            <v>CBA</v>
          </cell>
          <cell r="E227" t="str">
            <v>CBA</v>
          </cell>
          <cell r="F227" t="str">
            <v>CBA</v>
          </cell>
          <cell r="G227" t="str">
            <v>CBA</v>
          </cell>
          <cell r="H227" t="str">
            <v>CBA</v>
          </cell>
        </row>
        <row r="228">
          <cell r="C228" t="str">
            <v>TARGETS TRANSPORTES EIRELI</v>
          </cell>
          <cell r="D228" t="str">
            <v>OUTROS</v>
          </cell>
          <cell r="E228" t="str">
            <v>OUTROS</v>
          </cell>
          <cell r="F228" t="str">
            <v>TARGETS TRANSPORTES</v>
          </cell>
          <cell r="G228" t="str">
            <v>OUTROS</v>
          </cell>
          <cell r="H228" t="str">
            <v>OUTROS</v>
          </cell>
        </row>
        <row r="229">
          <cell r="C229" t="str">
            <v>TRANSPORTADORA RODO RIBEIRO LTDA</v>
          </cell>
          <cell r="D229" t="str">
            <v>OUTROS</v>
          </cell>
          <cell r="E229" t="str">
            <v>OUTROS</v>
          </cell>
          <cell r="F229" t="str">
            <v>RODO RIBEIRO</v>
          </cell>
          <cell r="G229" t="str">
            <v>OUTROS</v>
          </cell>
          <cell r="H229" t="str">
            <v>OUTROS</v>
          </cell>
        </row>
        <row r="230">
          <cell r="C230" t="str">
            <v>TRANSPORTES RODOVIARIOS PETROVINA LTDA</v>
          </cell>
          <cell r="D230" t="str">
            <v>OUTROS</v>
          </cell>
          <cell r="E230" t="str">
            <v>OUTROS</v>
          </cell>
          <cell r="F230" t="str">
            <v>PETROVINA TRANSPORTES</v>
          </cell>
          <cell r="G230" t="str">
            <v>PETROVINA TRANSPORTES</v>
          </cell>
          <cell r="H230" t="str">
            <v>OUTROS</v>
          </cell>
        </row>
        <row r="231">
          <cell r="C231" t="str">
            <v>VIDAL LOGISTICA E TRANSPORTES LTDA</v>
          </cell>
          <cell r="D231" t="str">
            <v>OUTROS</v>
          </cell>
          <cell r="E231" t="str">
            <v>OUTROS</v>
          </cell>
          <cell r="F231" t="str">
            <v>VIDAL LOGISTICA</v>
          </cell>
          <cell r="G231" t="str">
            <v>OUTROS</v>
          </cell>
          <cell r="H231" t="str">
            <v>OUTROS</v>
          </cell>
        </row>
        <row r="232">
          <cell r="C232" t="str">
            <v>SUZANO PAPEL E CELULOSE S/A</v>
          </cell>
          <cell r="D232" t="str">
            <v>OUTROS</v>
          </cell>
          <cell r="E232" t="str">
            <v>OUTROS</v>
          </cell>
          <cell r="F232" t="str">
            <v>SUZANO</v>
          </cell>
          <cell r="G232" t="str">
            <v>OUTROS</v>
          </cell>
          <cell r="H232" t="str">
            <v>OUTROS</v>
          </cell>
        </row>
        <row r="233">
          <cell r="C233" t="str">
            <v>ARMANI TRANSPORTES S/A</v>
          </cell>
          <cell r="D233" t="str">
            <v>OUTROS</v>
          </cell>
          <cell r="E233" t="str">
            <v>OUTROS</v>
          </cell>
          <cell r="F233" t="str">
            <v>ARMANI TRANSPORTES</v>
          </cell>
          <cell r="G233" t="str">
            <v>ARMANI TRANSPORTES</v>
          </cell>
          <cell r="H233" t="str">
            <v>OUTROS</v>
          </cell>
        </row>
        <row r="234">
          <cell r="C234" t="str">
            <v>LANXESS IND. DE MATERIAS DE TRANSFORMAÇÃO LTDA</v>
          </cell>
          <cell r="D234" t="str">
            <v>OUTROS</v>
          </cell>
          <cell r="E234" t="str">
            <v>LANXESS</v>
          </cell>
          <cell r="F234" t="str">
            <v>LANXESS</v>
          </cell>
          <cell r="G234" t="str">
            <v>LANXESS</v>
          </cell>
          <cell r="H234" t="str">
            <v>LANXESS</v>
          </cell>
        </row>
        <row r="235">
          <cell r="C235" t="str">
            <v>ALFA E OMEGA MINERACAO LTDA</v>
          </cell>
          <cell r="D235" t="str">
            <v>OUTROS</v>
          </cell>
          <cell r="E235" t="str">
            <v>OUTROS</v>
          </cell>
          <cell r="F235" t="str">
            <v>ALFA E ÔMEGA MINERAÇÃO</v>
          </cell>
          <cell r="G235" t="str">
            <v>ALFA E ÔMEGA MINERAÇÃO</v>
          </cell>
          <cell r="H235" t="str">
            <v>OUTROS</v>
          </cell>
        </row>
        <row r="236">
          <cell r="C236" t="str">
            <v>CENTRAL LOGISTICA E TRANSPORTES EIRELI</v>
          </cell>
          <cell r="D236" t="str">
            <v>OUTROS</v>
          </cell>
          <cell r="E236" t="str">
            <v>OUTROS</v>
          </cell>
          <cell r="F236" t="str">
            <v>CENTRAL LOGÍSTICA</v>
          </cell>
          <cell r="G236" t="str">
            <v>CENTRAL LOGÍSTICA</v>
          </cell>
          <cell r="H236" t="str">
            <v>OUTROS</v>
          </cell>
        </row>
        <row r="237">
          <cell r="C237" t="str">
            <v>GRUPO CARETA TRANSPORTES</v>
          </cell>
          <cell r="D237" t="str">
            <v>OUTROS</v>
          </cell>
          <cell r="E237" t="str">
            <v>OUTROS</v>
          </cell>
          <cell r="F237" t="str">
            <v>CARETA TRANSPORTES</v>
          </cell>
          <cell r="G237" t="str">
            <v>CARETA TRANSPORTES</v>
          </cell>
          <cell r="H237" t="str">
            <v>OUTROS</v>
          </cell>
        </row>
        <row r="238">
          <cell r="C238" t="str">
            <v>RODOMAIOR TRANSPORTES LTDA</v>
          </cell>
          <cell r="D238" t="str">
            <v>OUTROS</v>
          </cell>
          <cell r="E238" t="str">
            <v>OUTROS</v>
          </cell>
          <cell r="F238" t="str">
            <v>RODOMAIOR TRANSPORTES</v>
          </cell>
          <cell r="G238" t="str">
            <v>RODOMAIOR TRANSPORTES</v>
          </cell>
          <cell r="H238" t="str">
            <v>OUTROS</v>
          </cell>
        </row>
        <row r="239">
          <cell r="C239" t="str">
            <v>DEL POZO TRANSPORTES RODOVIARIOS LTDA</v>
          </cell>
          <cell r="D239" t="str">
            <v>OUTROS</v>
          </cell>
          <cell r="E239" t="str">
            <v>OUTROS</v>
          </cell>
          <cell r="F239" t="str">
            <v>DEL POZO TRANSPORTES</v>
          </cell>
          <cell r="G239" t="str">
            <v>DEL POZO TRANSPORTES</v>
          </cell>
          <cell r="H239" t="str">
            <v>OUTROS</v>
          </cell>
        </row>
        <row r="240">
          <cell r="C240" t="str">
            <v>AMBEV CURITIBA</v>
          </cell>
          <cell r="D240" t="str">
            <v>AMBEV</v>
          </cell>
          <cell r="E240" t="str">
            <v>AMBEV</v>
          </cell>
          <cell r="F240" t="str">
            <v>AMBEV</v>
          </cell>
          <cell r="G240" t="str">
            <v>AMBEV</v>
          </cell>
          <cell r="H240" t="str">
            <v>AMBEV</v>
          </cell>
        </row>
        <row r="241">
          <cell r="C241" t="str">
            <v>LANXESS IND. MATERIAIS DE PERFORMANCE LTDA</v>
          </cell>
          <cell r="D241" t="str">
            <v>OUTROS</v>
          </cell>
          <cell r="E241" t="str">
            <v>LANXESS</v>
          </cell>
          <cell r="F241" t="str">
            <v>LANXESS</v>
          </cell>
          <cell r="G241" t="str">
            <v>LANXESS</v>
          </cell>
          <cell r="H241" t="str">
            <v>LANXESS</v>
          </cell>
        </row>
        <row r="242">
          <cell r="C242" t="str">
            <v>RAÍZEN</v>
          </cell>
          <cell r="D242" t="str">
            <v>AGRO</v>
          </cell>
          <cell r="E242" t="str">
            <v>OUTROS</v>
          </cell>
          <cell r="F242" t="str">
            <v>RAÍZEN</v>
          </cell>
          <cell r="G242" t="str">
            <v>RAÍZEN</v>
          </cell>
          <cell r="H242" t="str">
            <v>NOVOS</v>
          </cell>
        </row>
        <row r="243">
          <cell r="C243" t="str">
            <v>NOVELIS</v>
          </cell>
          <cell r="D243" t="str">
            <v>OUTROS</v>
          </cell>
          <cell r="E243" t="str">
            <v>OUTROS</v>
          </cell>
          <cell r="F243" t="str">
            <v>NOVELIS</v>
          </cell>
          <cell r="G243" t="str">
            <v>NOVELIS</v>
          </cell>
          <cell r="H243" t="str">
            <v>OUTROS</v>
          </cell>
        </row>
        <row r="244">
          <cell r="C244" t="str">
            <v>NEXA RESOURCES</v>
          </cell>
          <cell r="D244" t="str">
            <v>AGRO</v>
          </cell>
          <cell r="E244" t="str">
            <v>OUTROS</v>
          </cell>
          <cell r="F244" t="str">
            <v>NEXA RESOURCES</v>
          </cell>
          <cell r="G244" t="str">
            <v>NEXA RESOURCES</v>
          </cell>
          <cell r="H244" t="str">
            <v>OUTROS</v>
          </cell>
        </row>
        <row r="245">
          <cell r="C245" t="str">
            <v>JDE</v>
          </cell>
          <cell r="D245" t="str">
            <v>OUTROS</v>
          </cell>
          <cell r="E245" t="str">
            <v>OUTROS</v>
          </cell>
          <cell r="F245" t="str">
            <v>JDE COFFEE</v>
          </cell>
          <cell r="G245" t="str">
            <v>JDE COFFEE</v>
          </cell>
          <cell r="H245" t="str">
            <v>OUTROS</v>
          </cell>
        </row>
        <row r="246">
          <cell r="C246" t="str">
            <v>HELM</v>
          </cell>
          <cell r="D246" t="str">
            <v>AGRO</v>
          </cell>
          <cell r="E246" t="str">
            <v>OUTROS</v>
          </cell>
          <cell r="F246" t="str">
            <v>HELM</v>
          </cell>
          <cell r="G246" t="str">
            <v>HELM</v>
          </cell>
          <cell r="H246" t="str">
            <v>OUTROS</v>
          </cell>
        </row>
        <row r="247">
          <cell r="C247" t="str">
            <v>HEINEKEN</v>
          </cell>
          <cell r="D247" t="str">
            <v>OUTROS</v>
          </cell>
          <cell r="E247" t="str">
            <v>OUTROS</v>
          </cell>
          <cell r="F247" t="str">
            <v>HEINEKEN</v>
          </cell>
          <cell r="G247" t="str">
            <v>HEINEKEN</v>
          </cell>
          <cell r="H247" t="str">
            <v>OUTROS</v>
          </cell>
        </row>
        <row r="248">
          <cell r="C248" t="str">
            <v>ELGIN</v>
          </cell>
          <cell r="D248" t="str">
            <v>OUTROS</v>
          </cell>
          <cell r="E248" t="str">
            <v>OUTROS</v>
          </cell>
          <cell r="F248" t="str">
            <v>ELGIN</v>
          </cell>
          <cell r="G248" t="str">
            <v>ELGIN</v>
          </cell>
          <cell r="H248" t="str">
            <v>OUTROS</v>
          </cell>
        </row>
        <row r="249">
          <cell r="C249" t="str">
            <v>CORTEVA</v>
          </cell>
          <cell r="D249" t="str">
            <v>AGRO</v>
          </cell>
          <cell r="E249" t="str">
            <v>OUTROS</v>
          </cell>
          <cell r="F249" t="str">
            <v>CORTEVA</v>
          </cell>
          <cell r="G249" t="str">
            <v>CORTEVA</v>
          </cell>
          <cell r="H249" t="str">
            <v>OUTROS</v>
          </cell>
        </row>
        <row r="250">
          <cell r="C250" t="str">
            <v>CITROSUCO</v>
          </cell>
          <cell r="D250" t="str">
            <v>AGRO</v>
          </cell>
          <cell r="E250" t="str">
            <v>OUTROS</v>
          </cell>
          <cell r="F250" t="str">
            <v>CITROSUCO</v>
          </cell>
          <cell r="G250" t="str">
            <v>CITROSUCO</v>
          </cell>
          <cell r="H250" t="str">
            <v>NOVOS</v>
          </cell>
        </row>
        <row r="251">
          <cell r="C251" t="str">
            <v>BAYER</v>
          </cell>
          <cell r="D251" t="str">
            <v>OUTROS</v>
          </cell>
          <cell r="E251" t="str">
            <v>OUTROS</v>
          </cell>
          <cell r="F251" t="str">
            <v>BAYER</v>
          </cell>
          <cell r="G251" t="str">
            <v>BAYER</v>
          </cell>
          <cell r="H251" t="str">
            <v>OUTROS</v>
          </cell>
        </row>
        <row r="252">
          <cell r="C252" t="str">
            <v>ARCELORMITTAL</v>
          </cell>
          <cell r="D252" t="str">
            <v>OUTROS</v>
          </cell>
          <cell r="E252" t="str">
            <v>OUTROS</v>
          </cell>
          <cell r="F252" t="str">
            <v>ARCELORMITTAL</v>
          </cell>
          <cell r="G252" t="str">
            <v>ARCELORMITTAL</v>
          </cell>
          <cell r="H252" t="str">
            <v>NOVOS</v>
          </cell>
        </row>
        <row r="253">
          <cell r="C253" t="str">
            <v>ELGIN S/A</v>
          </cell>
          <cell r="D253" t="str">
            <v>OUTROS</v>
          </cell>
          <cell r="E253" t="str">
            <v>OUTROS</v>
          </cell>
          <cell r="F253" t="str">
            <v>ELGIN</v>
          </cell>
          <cell r="G253" t="str">
            <v>ELGIN</v>
          </cell>
          <cell r="H253" t="str">
            <v>OUTROS</v>
          </cell>
        </row>
        <row r="254">
          <cell r="C254" t="str">
            <v>VALMONT INDUSTRIA E COMERCIO LTDA</v>
          </cell>
          <cell r="D254" t="str">
            <v>OUTROS</v>
          </cell>
          <cell r="E254" t="str">
            <v>OUTROS</v>
          </cell>
          <cell r="F254" t="str">
            <v>VALMONT</v>
          </cell>
          <cell r="G254" t="str">
            <v>VALMONT</v>
          </cell>
          <cell r="H254" t="str">
            <v>OUTROS</v>
          </cell>
        </row>
        <row r="255">
          <cell r="C255" t="str">
            <v>ALUZINCO INDUSTRIA E COMERCIO DE ME LTDA</v>
          </cell>
          <cell r="D255" t="str">
            <v>OUTROS</v>
          </cell>
          <cell r="E255" t="str">
            <v>OUTROS</v>
          </cell>
          <cell r="F255" t="str">
            <v>ALUZINCO</v>
          </cell>
          <cell r="G255" t="str">
            <v>OUTROS</v>
          </cell>
          <cell r="H255" t="str">
            <v>OUTROS</v>
          </cell>
        </row>
        <row r="256">
          <cell r="C256" t="str">
            <v>FAVATO TRANSPORTES LTDA ME</v>
          </cell>
          <cell r="D256" t="str">
            <v>OUTROS</v>
          </cell>
          <cell r="E256" t="str">
            <v>OUTROS</v>
          </cell>
          <cell r="F256" t="str">
            <v>FAVATO TRANSPORTES</v>
          </cell>
          <cell r="G256" t="str">
            <v>OUTROS</v>
          </cell>
          <cell r="H256" t="str">
            <v>OUTROS</v>
          </cell>
        </row>
        <row r="257">
          <cell r="C257" t="str">
            <v>TRANSPANORAMA TRANSPORTES S/A</v>
          </cell>
          <cell r="D257" t="str">
            <v>OUTROS</v>
          </cell>
          <cell r="E257" t="str">
            <v>OUTROS</v>
          </cell>
          <cell r="F257" t="str">
            <v>TRANSPANORAMA TRANSPORTES</v>
          </cell>
          <cell r="G257" t="str">
            <v>OUTROS</v>
          </cell>
          <cell r="H257" t="str">
            <v>OUTROS</v>
          </cell>
        </row>
        <row r="258">
          <cell r="C258" t="str">
            <v>SM CARGO TRANSPORTES LTDA</v>
          </cell>
          <cell r="D258" t="str">
            <v>OUTROS</v>
          </cell>
          <cell r="E258" t="str">
            <v>OUTROS</v>
          </cell>
          <cell r="F258" t="str">
            <v>SM CARGO TRANSPORTES</v>
          </cell>
          <cell r="G258" t="str">
            <v>OUTROS</v>
          </cell>
          <cell r="H258" t="str">
            <v>OUTROS</v>
          </cell>
        </row>
        <row r="259">
          <cell r="C259" t="str">
            <v>L D M LOGISTICA TRANSPORTES LTDA</v>
          </cell>
          <cell r="D259" t="str">
            <v>OUTROS</v>
          </cell>
          <cell r="E259" t="str">
            <v>OUTROS</v>
          </cell>
          <cell r="F259" t="str">
            <v>LDM LOGÍSTICA E TRANSPORTES</v>
          </cell>
          <cell r="G259" t="str">
            <v>OUTROS</v>
          </cell>
          <cell r="H259" t="str">
            <v>OUTROS</v>
          </cell>
        </row>
        <row r="260">
          <cell r="C260" t="str">
            <v>PROCARGA TRANSPORTE E LOGISTICA LTDA</v>
          </cell>
          <cell r="D260" t="str">
            <v>OUTROS</v>
          </cell>
          <cell r="E260" t="str">
            <v>OUTROS</v>
          </cell>
          <cell r="F260" t="str">
            <v>PROCARGA TRANSPORTES E LOGÍSTICA</v>
          </cell>
          <cell r="G260" t="str">
            <v>OUTROS</v>
          </cell>
          <cell r="H260" t="str">
            <v>OUTROS</v>
          </cell>
        </row>
        <row r="261">
          <cell r="C261" t="str">
            <v>ISIS TRANSPORTES E LOCACAO LTDA</v>
          </cell>
          <cell r="D261" t="str">
            <v>OUTROS</v>
          </cell>
          <cell r="E261" t="str">
            <v>OUTROS</v>
          </cell>
          <cell r="F261" t="str">
            <v>ISIS TRANSPORTES E LOCAÇÃO</v>
          </cell>
          <cell r="G261" t="str">
            <v>OUTROS</v>
          </cell>
          <cell r="H261" t="str">
            <v>OUTROS</v>
          </cell>
        </row>
        <row r="262">
          <cell r="C262" t="str">
            <v>AMBEV S.A. - F. GUAR</v>
          </cell>
          <cell r="D262" t="str">
            <v>AMBEV</v>
          </cell>
          <cell r="E262" t="str">
            <v>AMBEV</v>
          </cell>
          <cell r="F262" t="str">
            <v>AMBEV</v>
          </cell>
          <cell r="G262" t="str">
            <v>AMBEV</v>
          </cell>
          <cell r="H262" t="str">
            <v>AMBEV</v>
          </cell>
        </row>
        <row r="263">
          <cell r="C263" t="str">
            <v>PISOTRAT</v>
          </cell>
          <cell r="D263" t="str">
            <v>AGRO</v>
          </cell>
          <cell r="E263" t="str">
            <v>OUTROS</v>
          </cell>
          <cell r="F263" t="str">
            <v>PISOTRAT PISOS</v>
          </cell>
          <cell r="G263" t="str">
            <v>OUTROS</v>
          </cell>
          <cell r="H263" t="str">
            <v>OUTROS</v>
          </cell>
        </row>
        <row r="264">
          <cell r="C264" t="str">
            <v>A.Y. NAM COSMETICOS</v>
          </cell>
          <cell r="D264" t="str">
            <v>AGRO</v>
          </cell>
          <cell r="E264" t="str">
            <v>OUTROS</v>
          </cell>
          <cell r="F264" t="str">
            <v>A Y NAM COSMÉTICOS</v>
          </cell>
          <cell r="G264" t="str">
            <v>OUTROS</v>
          </cell>
          <cell r="H264" t="str">
            <v>OUTROS</v>
          </cell>
        </row>
        <row r="265">
          <cell r="C265" t="str">
            <v>CONSERVAS OLE</v>
          </cell>
          <cell r="D265" t="str">
            <v>OUTROS</v>
          </cell>
          <cell r="E265" t="str">
            <v>OUTROS</v>
          </cell>
          <cell r="F265" t="str">
            <v>CONSERVAS OLE</v>
          </cell>
          <cell r="G265" t="str">
            <v>OUTROS</v>
          </cell>
          <cell r="H265" t="str">
            <v>OUTROS</v>
          </cell>
        </row>
        <row r="266">
          <cell r="C266" t="str">
            <v>SENDAS DISTRIBUIDORA</v>
          </cell>
          <cell r="D266" t="str">
            <v>OUTROS</v>
          </cell>
          <cell r="E266" t="str">
            <v>OUTROS</v>
          </cell>
          <cell r="F266" t="str">
            <v>SENDAS DISTRIBUIDORA</v>
          </cell>
          <cell r="G266" t="str">
            <v>OUTROS</v>
          </cell>
          <cell r="H266" t="str">
            <v>OUTROS</v>
          </cell>
        </row>
        <row r="267">
          <cell r="C267" t="str">
            <v>SUZANO</v>
          </cell>
          <cell r="D267" t="str">
            <v>OUTROS</v>
          </cell>
          <cell r="E267" t="str">
            <v>OUTROS</v>
          </cell>
          <cell r="F267" t="str">
            <v>SUZANO</v>
          </cell>
          <cell r="G267" t="str">
            <v>OUTROS</v>
          </cell>
          <cell r="H267" t="str">
            <v>OUTROS</v>
          </cell>
        </row>
        <row r="268">
          <cell r="C268" t="str">
            <v>SUZANO LIMEIRA</v>
          </cell>
          <cell r="D268" t="str">
            <v>OUTROS</v>
          </cell>
          <cell r="E268" t="str">
            <v>OUTROS</v>
          </cell>
          <cell r="F268" t="str">
            <v>SUZANO</v>
          </cell>
          <cell r="G268" t="str">
            <v>OUTROS</v>
          </cell>
          <cell r="H268" t="str">
            <v>OUTROS</v>
          </cell>
        </row>
        <row r="269">
          <cell r="C269" t="str">
            <v>LANXESS IND. MATERIA</v>
          </cell>
          <cell r="D269" t="str">
            <v>OUTROS</v>
          </cell>
          <cell r="E269" t="str">
            <v>LANXESS</v>
          </cell>
          <cell r="F269" t="str">
            <v>LANXESS</v>
          </cell>
          <cell r="G269" t="str">
            <v>LANXESS</v>
          </cell>
          <cell r="H269" t="str">
            <v>LANXESS</v>
          </cell>
        </row>
        <row r="270">
          <cell r="C270" t="str">
            <v>ELDORADO BRASIL</v>
          </cell>
          <cell r="D270" t="str">
            <v>OUTROS</v>
          </cell>
          <cell r="E270" t="str">
            <v>OUTROS</v>
          </cell>
          <cell r="F270" t="str">
            <v>ELDORADO</v>
          </cell>
          <cell r="G270" t="str">
            <v>ELDORADO</v>
          </cell>
          <cell r="H270" t="str">
            <v>OUTROS</v>
          </cell>
        </row>
        <row r="271">
          <cell r="C271" t="str">
            <v>ENGIN S/A</v>
          </cell>
          <cell r="D271" t="str">
            <v>OUTROS</v>
          </cell>
          <cell r="E271" t="str">
            <v>OUTROS</v>
          </cell>
          <cell r="F271" t="str">
            <v>ELGIN</v>
          </cell>
          <cell r="G271" t="str">
            <v>ELGIN</v>
          </cell>
          <cell r="H271" t="str">
            <v>OUTROS</v>
          </cell>
        </row>
        <row r="272">
          <cell r="C272" t="str">
            <v>ALUZINCO INDUSTRIA E</v>
          </cell>
          <cell r="D272" t="str">
            <v>OUTROS</v>
          </cell>
          <cell r="E272" t="str">
            <v>OUTROS</v>
          </cell>
          <cell r="F272" t="str">
            <v>ALUZINCO</v>
          </cell>
          <cell r="G272" t="str">
            <v>OUTROS</v>
          </cell>
          <cell r="H272" t="str">
            <v>OUTROS</v>
          </cell>
        </row>
        <row r="273">
          <cell r="C273" t="str">
            <v>TRANSWINTER TRANSPORTE E LOGISTICA</v>
          </cell>
          <cell r="D273" t="str">
            <v>OUTROS</v>
          </cell>
          <cell r="E273" t="str">
            <v>OUTROS</v>
          </cell>
          <cell r="F273" t="str">
            <v>TRANSWINTER</v>
          </cell>
          <cell r="G273" t="str">
            <v>OUTROS</v>
          </cell>
          <cell r="H273" t="str">
            <v>OUTROS</v>
          </cell>
        </row>
        <row r="274">
          <cell r="C274" t="str">
            <v>CARGOMODAL TRANSPORTES SERVICOS E LOCACAO LTDA</v>
          </cell>
          <cell r="D274" t="str">
            <v>OUTROS</v>
          </cell>
          <cell r="E274" t="str">
            <v>OUTROS</v>
          </cell>
          <cell r="F274" t="str">
            <v>CARGOMODAL</v>
          </cell>
          <cell r="G274" t="str">
            <v>OUTROS</v>
          </cell>
          <cell r="H274" t="str">
            <v>OUTROS</v>
          </cell>
        </row>
        <row r="275">
          <cell r="C275" t="str">
            <v>AMBEV - CDR LOUVEIRA</v>
          </cell>
          <cell r="D275" t="str">
            <v>AMBEV</v>
          </cell>
          <cell r="E275" t="str">
            <v>AMBEV</v>
          </cell>
          <cell r="F275" t="str">
            <v>AMBEV</v>
          </cell>
          <cell r="G275" t="str">
            <v>AMBEV</v>
          </cell>
          <cell r="H275" t="str">
            <v>AMBEV</v>
          </cell>
        </row>
        <row r="276">
          <cell r="C276" t="str">
            <v>NEXXUS LOGISTICA LTDA</v>
          </cell>
          <cell r="D276" t="str">
            <v>OUTROS</v>
          </cell>
          <cell r="E276" t="str">
            <v>OUTROS</v>
          </cell>
          <cell r="F276" t="str">
            <v>NEXXUS LOGÍSTICA</v>
          </cell>
          <cell r="G276" t="str">
            <v>OUTROS</v>
          </cell>
          <cell r="H276" t="str">
            <v>OUTROS</v>
          </cell>
        </row>
        <row r="277">
          <cell r="C277" t="str">
            <v>STOCK LOGÍSTICA E TRANSPORTES</v>
          </cell>
          <cell r="D277" t="str">
            <v>OUTROS</v>
          </cell>
          <cell r="E277" t="str">
            <v>OUTROS</v>
          </cell>
          <cell r="F277" t="str">
            <v>STOCK</v>
          </cell>
          <cell r="G277" t="str">
            <v>OUTROS</v>
          </cell>
          <cell r="H277" t="str">
            <v>OUTROS</v>
          </cell>
        </row>
        <row r="278">
          <cell r="C278" t="str">
            <v>UPL</v>
          </cell>
          <cell r="D278" t="str">
            <v>AGRO</v>
          </cell>
          <cell r="E278" t="str">
            <v>OUTROS</v>
          </cell>
          <cell r="F278" t="str">
            <v>UPL</v>
          </cell>
          <cell r="G278" t="str">
            <v>OUTROS</v>
          </cell>
          <cell r="H278" t="str">
            <v>OUTROS</v>
          </cell>
        </row>
        <row r="279">
          <cell r="C279" t="str">
            <v>J&amp;J</v>
          </cell>
          <cell r="D279" t="str">
            <v>OUTROS</v>
          </cell>
          <cell r="E279" t="str">
            <v>OUTROS</v>
          </cell>
          <cell r="F279" t="str">
            <v>JOHNSON &amp; JOHNSON</v>
          </cell>
          <cell r="G279" t="str">
            <v>OUTROS</v>
          </cell>
          <cell r="H279" t="str">
            <v>OUTROS</v>
          </cell>
        </row>
        <row r="280">
          <cell r="C280" t="str">
            <v>COLGATE</v>
          </cell>
          <cell r="D280" t="str">
            <v>OUTROS</v>
          </cell>
          <cell r="E280" t="str">
            <v>OUTROS</v>
          </cell>
          <cell r="F280" t="str">
            <v>COLGATE</v>
          </cell>
          <cell r="G280" t="str">
            <v>COLGATE</v>
          </cell>
          <cell r="H280" t="str">
            <v>NOVOS</v>
          </cell>
        </row>
        <row r="281">
          <cell r="C281" t="str">
            <v>AMERICANAS</v>
          </cell>
          <cell r="D281" t="str">
            <v>OUTROS</v>
          </cell>
          <cell r="E281" t="str">
            <v>OUTROS</v>
          </cell>
          <cell r="F281" t="str">
            <v>AMERICANAS</v>
          </cell>
          <cell r="G281" t="str">
            <v>OUTROS</v>
          </cell>
          <cell r="H281" t="str">
            <v>OUTROS</v>
          </cell>
        </row>
        <row r="282">
          <cell r="C282" t="str">
            <v>USIMINAS</v>
          </cell>
          <cell r="D282" t="str">
            <v>OUTROS</v>
          </cell>
          <cell r="E282" t="str">
            <v>OUTROS</v>
          </cell>
          <cell r="F282" t="str">
            <v>USIMINAS</v>
          </cell>
          <cell r="G282" t="str">
            <v>USIMINAS</v>
          </cell>
          <cell r="H282" t="str">
            <v>NOVOS</v>
          </cell>
        </row>
        <row r="283">
          <cell r="C283" t="str">
            <v>MERCADO LIVRE</v>
          </cell>
          <cell r="D283" t="str">
            <v>OUTROS</v>
          </cell>
          <cell r="E283" t="str">
            <v>OUTROS</v>
          </cell>
          <cell r="F283" t="str">
            <v>MERCADO LIVRE</v>
          </cell>
          <cell r="G283" t="str">
            <v>OUTROS</v>
          </cell>
          <cell r="H283" t="str">
            <v>OUTROS</v>
          </cell>
        </row>
        <row r="284">
          <cell r="C284" t="str">
            <v>MAGAZINE LUIZA</v>
          </cell>
          <cell r="D284" t="str">
            <v>OUTROS</v>
          </cell>
          <cell r="E284" t="str">
            <v>OUTROS</v>
          </cell>
          <cell r="F284" t="str">
            <v>MAGAZINE LUIZA</v>
          </cell>
          <cell r="G284" t="str">
            <v>OUTROS</v>
          </cell>
          <cell r="H284" t="str">
            <v>OUTROS</v>
          </cell>
        </row>
        <row r="285">
          <cell r="C285" t="str">
            <v>TGESTIONA</v>
          </cell>
          <cell r="D285" t="str">
            <v>OUTROS</v>
          </cell>
          <cell r="E285" t="str">
            <v>OUTROS</v>
          </cell>
          <cell r="F285" t="str">
            <v>TGESTIONA</v>
          </cell>
          <cell r="G285" t="str">
            <v>OUTROS</v>
          </cell>
          <cell r="H285" t="str">
            <v>OUTROS</v>
          </cell>
        </row>
        <row r="286">
          <cell r="C286" t="str">
            <v>ATOS LOG TRANSPORTES DE CARGAS EIRELI</v>
          </cell>
          <cell r="D286" t="str">
            <v>OUTROS</v>
          </cell>
          <cell r="E286" t="str">
            <v>OUTROS</v>
          </cell>
          <cell r="F286" t="str">
            <v>ATOS LOGÍSTICA</v>
          </cell>
          <cell r="G286" t="str">
            <v>OUTROS</v>
          </cell>
          <cell r="H286" t="str">
            <v>OUTROS</v>
          </cell>
        </row>
        <row r="287">
          <cell r="C287" t="str">
            <v>TDM TRANSPORTES LTDA</v>
          </cell>
          <cell r="D287" t="str">
            <v>OUTROS</v>
          </cell>
          <cell r="E287" t="str">
            <v>OUTROS</v>
          </cell>
          <cell r="F287" t="str">
            <v>TDM TRANSPORTES</v>
          </cell>
          <cell r="G287" t="str">
            <v>OUTROS</v>
          </cell>
          <cell r="H287" t="str">
            <v>OUTROS</v>
          </cell>
        </row>
        <row r="288">
          <cell r="C288" t="str">
            <v>BORGNO TRANSPORTES LTDA</v>
          </cell>
          <cell r="D288" t="str">
            <v>OUTROS</v>
          </cell>
          <cell r="E288" t="str">
            <v>OUTROS</v>
          </cell>
          <cell r="F288" t="str">
            <v>BORGNO TRANSPORTES</v>
          </cell>
          <cell r="G288" t="str">
            <v>BORGNO TRANSPORTES</v>
          </cell>
          <cell r="H288" t="str">
            <v>OUTROS</v>
          </cell>
        </row>
        <row r="289">
          <cell r="C289" t="str">
            <v>FILIAL SANTA CATARINA</v>
          </cell>
          <cell r="D289" t="str">
            <v>AMBEV</v>
          </cell>
          <cell r="E289" t="str">
            <v>AMBEV</v>
          </cell>
          <cell r="F289" t="str">
            <v>AMBEV</v>
          </cell>
          <cell r="G289" t="str">
            <v>AMBEV</v>
          </cell>
          <cell r="H289" t="str">
            <v>AMBEV</v>
          </cell>
        </row>
        <row r="290">
          <cell r="C290" t="str">
            <v>HOLDING LOGISTICA E AGENCIADORA - EIRELI</v>
          </cell>
          <cell r="D290" t="str">
            <v>OUTROS</v>
          </cell>
          <cell r="E290" t="str">
            <v>OUTROS</v>
          </cell>
          <cell r="F290" t="str">
            <v>HOLDING LOGÍSTICA E TRANSPORTES</v>
          </cell>
          <cell r="G290" t="str">
            <v>OUTROS</v>
          </cell>
          <cell r="H290" t="str">
            <v>OUTROS</v>
          </cell>
        </row>
        <row r="291">
          <cell r="C291" t="str">
            <v>LIDERANÇA TRANSPORTE LTDA</v>
          </cell>
          <cell r="D291" t="str">
            <v>OUTROS</v>
          </cell>
          <cell r="E291" t="str">
            <v>OUTROS</v>
          </cell>
          <cell r="F291" t="str">
            <v>LIDERANÇA TRANSPORTES</v>
          </cell>
          <cell r="G291" t="str">
            <v>OUTROS</v>
          </cell>
          <cell r="H291" t="str">
            <v>OUTROS</v>
          </cell>
        </row>
        <row r="292">
          <cell r="C292" t="str">
            <v>AMBEV S.A. - PIRAÍ/RJ</v>
          </cell>
          <cell r="D292" t="str">
            <v>AMBEV</v>
          </cell>
          <cell r="E292" t="str">
            <v>AMBEV</v>
          </cell>
          <cell r="F292" t="str">
            <v>AMBEV</v>
          </cell>
          <cell r="G292" t="str">
            <v>AMBEV</v>
          </cell>
          <cell r="H292" t="str">
            <v>AMBEV</v>
          </cell>
        </row>
        <row r="293">
          <cell r="C293" t="str">
            <v>BORGNO TRANSPORTES LTDA - MG</v>
          </cell>
          <cell r="D293" t="str">
            <v>OUTROS</v>
          </cell>
          <cell r="E293" t="str">
            <v>OUTROS</v>
          </cell>
          <cell r="F293" t="str">
            <v>BORGNO TRANSPORTES</v>
          </cell>
          <cell r="G293" t="str">
            <v>BORGNO TRANSPORTES</v>
          </cell>
          <cell r="H293" t="str">
            <v>OUTROS</v>
          </cell>
        </row>
        <row r="294">
          <cell r="C294" t="str">
            <v>UNIPAR INDUPA DO BRASIL S.A.</v>
          </cell>
          <cell r="D294" t="str">
            <v>UNIPAR</v>
          </cell>
          <cell r="E294" t="str">
            <v>UNIPAR</v>
          </cell>
          <cell r="F294" t="str">
            <v>UNIPAR</v>
          </cell>
          <cell r="G294" t="str">
            <v>UNIPAR</v>
          </cell>
          <cell r="H294" t="str">
            <v>UNIPAR</v>
          </cell>
        </row>
        <row r="295">
          <cell r="C295" t="str">
            <v>AGILIX SISTEMAS LOGISTICOS LTDA</v>
          </cell>
          <cell r="D295" t="str">
            <v>OUTROS</v>
          </cell>
          <cell r="E295" t="str">
            <v>OUTROS</v>
          </cell>
          <cell r="F295" t="str">
            <v>AGILIX</v>
          </cell>
          <cell r="G295" t="str">
            <v>OUTROS</v>
          </cell>
          <cell r="H295" t="str">
            <v>OUTROS</v>
          </cell>
        </row>
        <row r="296">
          <cell r="C296" t="str">
            <v>TRANSPORTES CASARINO LTDA</v>
          </cell>
          <cell r="D296" t="str">
            <v>OUTROS</v>
          </cell>
          <cell r="E296" t="str">
            <v>OUTROS</v>
          </cell>
          <cell r="F296" t="str">
            <v>TRANSPORTES CASARINO</v>
          </cell>
          <cell r="G296" t="str">
            <v>OUTROS</v>
          </cell>
          <cell r="H296" t="str">
            <v>OUTROS</v>
          </cell>
        </row>
        <row r="297">
          <cell r="C297" t="str">
            <v>TRANSCAJURU LTDA</v>
          </cell>
          <cell r="D297" t="str">
            <v>OUTROS</v>
          </cell>
          <cell r="E297" t="str">
            <v>OUTROS</v>
          </cell>
          <cell r="F297" t="str">
            <v>TRANSCAJURU</v>
          </cell>
          <cell r="G297" t="str">
            <v>OUTROS</v>
          </cell>
          <cell r="H297" t="str">
            <v>OUTROS</v>
          </cell>
        </row>
        <row r="298">
          <cell r="C298" t="str">
            <v>FIBRA FORTE COMERCIAL LTDA</v>
          </cell>
          <cell r="D298" t="str">
            <v>OUTROS</v>
          </cell>
          <cell r="E298" t="str">
            <v>OUTROS</v>
          </cell>
          <cell r="F298" t="str">
            <v>FIBRA FORTE</v>
          </cell>
          <cell r="G298" t="str">
            <v>OUTROS</v>
          </cell>
          <cell r="H298" t="str">
            <v>OUTROS</v>
          </cell>
        </row>
        <row r="299">
          <cell r="C299" t="str">
            <v>JANGADA TRANSPORTES LTDA</v>
          </cell>
          <cell r="D299" t="str">
            <v>OUTROS</v>
          </cell>
          <cell r="E299" t="str">
            <v>OUTROS</v>
          </cell>
          <cell r="F299" t="str">
            <v>JANGADA TRANSPORTES</v>
          </cell>
          <cell r="G299" t="str">
            <v>OUTROS</v>
          </cell>
          <cell r="H299" t="str">
            <v>OUTROS</v>
          </cell>
        </row>
        <row r="300">
          <cell r="C300" t="str">
            <v>PLASTILOG DUTOS DE PLASTICOS LTDA</v>
          </cell>
          <cell r="D300" t="str">
            <v>OUTROS</v>
          </cell>
          <cell r="E300" t="str">
            <v>OUTROS</v>
          </cell>
          <cell r="F300" t="str">
            <v>PLASTILOG</v>
          </cell>
          <cell r="G300" t="str">
            <v>OUTROS</v>
          </cell>
          <cell r="H300" t="str">
            <v>OUTROS</v>
          </cell>
        </row>
        <row r="301">
          <cell r="C301" t="str">
            <v>GOIAISMINAS INDUSTRIA DE LAICINIOS LTDA</v>
          </cell>
          <cell r="D301" t="str">
            <v>OUTROS</v>
          </cell>
          <cell r="E301" t="str">
            <v>OUTROS</v>
          </cell>
          <cell r="F301" t="str">
            <v>ITALAC</v>
          </cell>
          <cell r="G301" t="str">
            <v>OUTROS</v>
          </cell>
          <cell r="H301" t="str">
            <v>OUTROS</v>
          </cell>
        </row>
        <row r="302">
          <cell r="C302" t="str">
            <v>AMBEV S.A. - RIO DE JANEIRO/RJ</v>
          </cell>
          <cell r="D302" t="str">
            <v>AMBEV</v>
          </cell>
          <cell r="E302" t="str">
            <v>AMBEV</v>
          </cell>
          <cell r="F302" t="str">
            <v>AMBEV</v>
          </cell>
          <cell r="G302" t="str">
            <v>AMBEV</v>
          </cell>
          <cell r="H302" t="str">
            <v>AMBEV</v>
          </cell>
        </row>
        <row r="303">
          <cell r="C303" t="str">
            <v>MLM ACIONAMENTOS E AUTOMACAO ELETRICA LTDA</v>
          </cell>
          <cell r="D303" t="str">
            <v>OUTROS</v>
          </cell>
          <cell r="E303" t="str">
            <v>OUTROS</v>
          </cell>
          <cell r="F303" t="str">
            <v>MLM ACIONAMENTOS</v>
          </cell>
          <cell r="G303" t="str">
            <v>OUTROS</v>
          </cell>
          <cell r="H303" t="str">
            <v>OUTROS</v>
          </cell>
        </row>
        <row r="304">
          <cell r="C304" t="str">
            <v>BELLUNO LOGISTICA E TRANSPORTES LTDA</v>
          </cell>
          <cell r="D304" t="str">
            <v>OUTROS</v>
          </cell>
          <cell r="E304" t="str">
            <v>OUTROS</v>
          </cell>
          <cell r="F304" t="str">
            <v>BELLUNO</v>
          </cell>
          <cell r="G304" t="str">
            <v>OUTROS</v>
          </cell>
          <cell r="H304" t="str">
            <v>OUTROS</v>
          </cell>
        </row>
        <row r="305">
          <cell r="C305" t="str">
            <v>PINUS PASEMA PAPEIS LTDA</v>
          </cell>
          <cell r="D305" t="str">
            <v>OUTROS</v>
          </cell>
          <cell r="E305" t="str">
            <v>OUTROS</v>
          </cell>
          <cell r="F305" t="str">
            <v>PINUS PASEMA</v>
          </cell>
          <cell r="G305" t="str">
            <v>OUTROS</v>
          </cell>
          <cell r="H305" t="str">
            <v>OUTROS</v>
          </cell>
        </row>
        <row r="306">
          <cell r="C306" t="str">
            <v>RODOPRIMA - GLOBAL LOGISTICA LTDA</v>
          </cell>
          <cell r="D306" t="str">
            <v>OUTROS</v>
          </cell>
          <cell r="E306" t="str">
            <v>OUTROS</v>
          </cell>
          <cell r="F306" t="str">
            <v>RODOPRIMA TRANSPORTES</v>
          </cell>
          <cell r="G306" t="str">
            <v>OUTROS</v>
          </cell>
          <cell r="H306" t="str">
            <v>OUTROS</v>
          </cell>
        </row>
        <row r="307">
          <cell r="C307" t="str">
            <v>JATOBA TRANSPORTES LTDA</v>
          </cell>
          <cell r="D307" t="str">
            <v>OUTROS</v>
          </cell>
          <cell r="E307" t="str">
            <v>OUTROS</v>
          </cell>
          <cell r="F307" t="str">
            <v>JATOBA TRANSPORTES</v>
          </cell>
          <cell r="G307" t="str">
            <v>OUTROS</v>
          </cell>
          <cell r="H307" t="str">
            <v>OUTROS</v>
          </cell>
        </row>
        <row r="308">
          <cell r="C308" t="str">
            <v>METALEX LTDA</v>
          </cell>
          <cell r="D308" t="str">
            <v>CBA</v>
          </cell>
          <cell r="E308" t="str">
            <v>CBA</v>
          </cell>
          <cell r="F308" t="str">
            <v>CBA</v>
          </cell>
          <cell r="G308" t="str">
            <v>CBA</v>
          </cell>
          <cell r="H308" t="str">
            <v>CBA</v>
          </cell>
        </row>
        <row r="309">
          <cell r="C309" t="str">
            <v>PONTUAL TRANSPORTES E ARMAZENS GERAIS LTDA</v>
          </cell>
          <cell r="D309" t="str">
            <v>OUTROS</v>
          </cell>
          <cell r="E309" t="str">
            <v>OUTROS</v>
          </cell>
          <cell r="F309" t="str">
            <v>PONTUAL TRANSPORTES</v>
          </cell>
          <cell r="G309" t="str">
            <v>OUTROS</v>
          </cell>
          <cell r="H309" t="str">
            <v>OUTROS</v>
          </cell>
        </row>
        <row r="310">
          <cell r="C310" t="str">
            <v>BELLUNO LOGISTICA E TRANSPORTES LTDA GO</v>
          </cell>
          <cell r="D310" t="str">
            <v>OUTROS</v>
          </cell>
          <cell r="E310" t="str">
            <v>OUTROS</v>
          </cell>
          <cell r="F310" t="str">
            <v>BELLUNO</v>
          </cell>
          <cell r="G310" t="str">
            <v>OUTROS</v>
          </cell>
          <cell r="H310" t="str">
            <v>OUTROS</v>
          </cell>
        </row>
        <row r="311">
          <cell r="C311" t="str">
            <v>CENTRO OESTE LOG E TRANSP. LTDA</v>
          </cell>
          <cell r="D311" t="str">
            <v>OUTROS</v>
          </cell>
          <cell r="E311" t="str">
            <v>OUTROS</v>
          </cell>
          <cell r="F311" t="str">
            <v>CENTRO OESTE LOG</v>
          </cell>
          <cell r="G311" t="str">
            <v>OUTROS</v>
          </cell>
          <cell r="H311" t="str">
            <v>OUTROS</v>
          </cell>
        </row>
        <row r="312">
          <cell r="C312" t="str">
            <v>BBM Logística S.A.</v>
          </cell>
          <cell r="D312" t="str">
            <v>OUTROS</v>
          </cell>
          <cell r="E312" t="str">
            <v>OUTROS</v>
          </cell>
          <cell r="F312" t="str">
            <v>BBM LOGÍSTICA</v>
          </cell>
          <cell r="G312" t="str">
            <v>OUTROS</v>
          </cell>
          <cell r="H312" t="str">
            <v>OUTROS</v>
          </cell>
        </row>
        <row r="313">
          <cell r="C313" t="str">
            <v>GRV LOGISTICA LTDA - EPP</v>
          </cell>
          <cell r="D313" t="str">
            <v>OUTROS</v>
          </cell>
          <cell r="E313" t="str">
            <v>OUTROS</v>
          </cell>
          <cell r="F313" t="str">
            <v>GRV LOGÍSTICA</v>
          </cell>
          <cell r="G313" t="str">
            <v>OUTROS</v>
          </cell>
          <cell r="H313" t="str">
            <v>OUTROS</v>
          </cell>
        </row>
        <row r="314">
          <cell r="C314" t="str">
            <v>TRANSPORTES VITTA COTTON LTDA</v>
          </cell>
          <cell r="D314" t="str">
            <v>OUTROS</v>
          </cell>
          <cell r="E314" t="str">
            <v>OUTROS</v>
          </cell>
          <cell r="F314" t="str">
            <v>TRANSPORTES VITTA COTTON</v>
          </cell>
          <cell r="G314" t="str">
            <v>OUTROS</v>
          </cell>
          <cell r="H314" t="str">
            <v>OUTROS</v>
          </cell>
        </row>
        <row r="315">
          <cell r="C315" t="str">
            <v>COMPANHIA BRASILEIRA DE ALUMINIO - MIRAÍ</v>
          </cell>
          <cell r="D315" t="str">
            <v>CBA</v>
          </cell>
          <cell r="E315" t="str">
            <v>CBA</v>
          </cell>
          <cell r="F315" t="str">
            <v>CBA</v>
          </cell>
          <cell r="G315" t="str">
            <v>CBA</v>
          </cell>
          <cell r="H315" t="str">
            <v>CBA</v>
          </cell>
        </row>
        <row r="316">
          <cell r="C316" t="str">
            <v>Ambev S.A. - Itapissuma/PE</v>
          </cell>
          <cell r="D316" t="str">
            <v>AMBEV</v>
          </cell>
          <cell r="E316" t="str">
            <v>AMBEV</v>
          </cell>
          <cell r="F316" t="str">
            <v>AMBEV</v>
          </cell>
          <cell r="G316" t="str">
            <v>AMBEV</v>
          </cell>
          <cell r="H316" t="str">
            <v>AMBEV</v>
          </cell>
        </row>
        <row r="317">
          <cell r="C317" t="str">
            <v>AMBEV S/A - Passo Fundo/RS</v>
          </cell>
          <cell r="D317" t="str">
            <v>AMBEV</v>
          </cell>
          <cell r="E317" t="str">
            <v>AMBEV</v>
          </cell>
          <cell r="F317" t="str">
            <v>AMBEV</v>
          </cell>
          <cell r="G317" t="str">
            <v>AMBEV</v>
          </cell>
          <cell r="H317" t="str">
            <v>AMBEV</v>
          </cell>
        </row>
        <row r="318">
          <cell r="C318" t="str">
            <v>BOM FRETE LOGISTICA E TRANSPORTES LTDA</v>
          </cell>
          <cell r="D318" t="str">
            <v>OUTROS</v>
          </cell>
          <cell r="E318" t="str">
            <v>OUTROS</v>
          </cell>
          <cell r="F318" t="str">
            <v>BOM FRETE</v>
          </cell>
          <cell r="G318" t="str">
            <v>BOM FRETE</v>
          </cell>
          <cell r="H318" t="str">
            <v>OUTROS</v>
          </cell>
        </row>
        <row r="319">
          <cell r="C319" t="str">
            <v>GOIASMINAS INDUSTRIA DE LAICINIOS LTDA</v>
          </cell>
          <cell r="D319" t="str">
            <v>OUTROS</v>
          </cell>
          <cell r="E319" t="str">
            <v>OUTROS</v>
          </cell>
          <cell r="F319" t="str">
            <v>ITALAC</v>
          </cell>
          <cell r="G319" t="str">
            <v>OUTROS</v>
          </cell>
          <cell r="H319" t="str">
            <v>OUTROS</v>
          </cell>
        </row>
        <row r="320">
          <cell r="C320" t="str">
            <v>AMBEV S.A. - Camaçari/BA</v>
          </cell>
          <cell r="D320" t="str">
            <v>AMBEV</v>
          </cell>
          <cell r="E320" t="str">
            <v>AMBEV</v>
          </cell>
          <cell r="F320" t="str">
            <v>AMBEV</v>
          </cell>
          <cell r="G320" t="str">
            <v>AMBEV</v>
          </cell>
          <cell r="H320" t="str">
            <v>AMBEV</v>
          </cell>
        </row>
        <row r="321">
          <cell r="C321" t="str">
            <v>BELLUNO LOGISTICA E TRANSPORTES LTDA BA</v>
          </cell>
          <cell r="D321" t="str">
            <v>OUTROS</v>
          </cell>
          <cell r="E321" t="str">
            <v>OUTROS</v>
          </cell>
          <cell r="F321" t="str">
            <v>BELLUNO</v>
          </cell>
          <cell r="G321" t="str">
            <v>OUTROS</v>
          </cell>
          <cell r="H321" t="str">
            <v>OUTROS</v>
          </cell>
        </row>
        <row r="322">
          <cell r="C322" t="str">
            <v>TW PRESS ENCOMENDAS E TRANSPORTES EIRELI</v>
          </cell>
          <cell r="D322" t="str">
            <v>OUTROS</v>
          </cell>
          <cell r="E322" t="str">
            <v>OUTROS</v>
          </cell>
          <cell r="F322" t="str">
            <v>TW PRESS</v>
          </cell>
          <cell r="G322" t="str">
            <v>OUTROS</v>
          </cell>
          <cell r="H322" t="str">
            <v>OUTROS</v>
          </cell>
        </row>
        <row r="323">
          <cell r="C323" t="str">
            <v>BORGNO TRANSPORTES LTDA - MT</v>
          </cell>
          <cell r="D323" t="str">
            <v>OUTROS</v>
          </cell>
          <cell r="E323" t="str">
            <v>OUTROS</v>
          </cell>
          <cell r="F323" t="str">
            <v>BORGNO TRANSPORTES</v>
          </cell>
          <cell r="G323" t="str">
            <v>BORGNO TRANSPORTES</v>
          </cell>
          <cell r="H323" t="str">
            <v>OUTROS</v>
          </cell>
        </row>
        <row r="324">
          <cell r="C324" t="str">
            <v>MARKSUL EMPREITEIRA E TERCEIRIZACAO DE MAO DE OBRA LTDA</v>
          </cell>
          <cell r="D324" t="str">
            <v>OUTROS</v>
          </cell>
          <cell r="E324" t="str">
            <v>OUTROS</v>
          </cell>
          <cell r="F324" t="str">
            <v>MARKSUL</v>
          </cell>
          <cell r="G324" t="str">
            <v>OUTROS</v>
          </cell>
          <cell r="H324" t="str">
            <v>OUTROS</v>
          </cell>
        </row>
        <row r="325">
          <cell r="C325" t="str">
            <v>GRANELEIRO TRANSPORTES RODOVIARIOS LTDA</v>
          </cell>
          <cell r="D325" t="str">
            <v>OUTROS</v>
          </cell>
          <cell r="E325" t="str">
            <v>OUTROS</v>
          </cell>
          <cell r="F325" t="str">
            <v>GRANELEIRO</v>
          </cell>
          <cell r="G325" t="str">
            <v>OUTROS</v>
          </cell>
          <cell r="H325" t="str">
            <v>OUTROS</v>
          </cell>
        </row>
        <row r="326">
          <cell r="C326" t="str">
            <v>AMAZON TRANSPORTE E LOGISTICA EIRELI</v>
          </cell>
          <cell r="D326" t="str">
            <v>OUTROS</v>
          </cell>
          <cell r="E326" t="str">
            <v>OUTROS</v>
          </cell>
          <cell r="F326" t="str">
            <v>AMAZON TRANSPORTES</v>
          </cell>
          <cell r="G326" t="str">
            <v>OUTROS</v>
          </cell>
          <cell r="H326" t="str">
            <v>OUTROS</v>
          </cell>
        </row>
        <row r="327">
          <cell r="C327" t="str">
            <v>VIDAL LOGISTICA E TRANSPORTES S.A.</v>
          </cell>
          <cell r="D327" t="str">
            <v>OUTROS</v>
          </cell>
          <cell r="E327" t="str">
            <v>OUTROS</v>
          </cell>
          <cell r="F327" t="str">
            <v>VIDAL LOGÍSTICA E TRANSPORTES</v>
          </cell>
          <cell r="G327" t="str">
            <v>OUTROS</v>
          </cell>
          <cell r="H327" t="str">
            <v>OUTROS</v>
          </cell>
        </row>
        <row r="328">
          <cell r="C328" t="str">
            <v>IMERYS DO BRASIL COMERCIO DE EXTRACAO DE MINERIOS</v>
          </cell>
          <cell r="D328" t="str">
            <v>OUTROS</v>
          </cell>
          <cell r="E328" t="str">
            <v>IMERYS</v>
          </cell>
          <cell r="F328" t="str">
            <v>IMERYS</v>
          </cell>
          <cell r="G328" t="str">
            <v>IMERYS</v>
          </cell>
          <cell r="H328" t="str">
            <v>IMERYS</v>
          </cell>
        </row>
        <row r="329">
          <cell r="C329" t="str">
            <v>PINUS PASEMA</v>
          </cell>
          <cell r="D329" t="str">
            <v>OUTROS</v>
          </cell>
          <cell r="E329" t="str">
            <v>OUTROS</v>
          </cell>
          <cell r="F329" t="str">
            <v>PINUS PASEMA</v>
          </cell>
          <cell r="G329" t="str">
            <v>OUTROS</v>
          </cell>
          <cell r="H329" t="str">
            <v>OUTROS</v>
          </cell>
        </row>
        <row r="330">
          <cell r="C330" t="str">
            <v>MARKSUL EMPREITEIRA E TERCEIRIZACAO DE MAO DE OBRA</v>
          </cell>
          <cell r="D330" t="str">
            <v>OUTROS</v>
          </cell>
          <cell r="E330" t="str">
            <v>OUTROS</v>
          </cell>
          <cell r="F330" t="str">
            <v>MARKSUL</v>
          </cell>
          <cell r="G330" t="str">
            <v>OUTROS</v>
          </cell>
          <cell r="H330" t="str">
            <v>OUTROS</v>
          </cell>
        </row>
        <row r="331">
          <cell r="C331" t="str">
            <v>SHIPCONTROL INTERNATIONAL LOGISTICS ASSESSORIA LTDA</v>
          </cell>
          <cell r="D331" t="str">
            <v>OUTROS</v>
          </cell>
          <cell r="E331" t="str">
            <v>OUTROS</v>
          </cell>
          <cell r="F331" t="str">
            <v>SHIPCONTROL</v>
          </cell>
          <cell r="G331" t="str">
            <v>OUTROS</v>
          </cell>
          <cell r="H331" t="str">
            <v>OUTROS</v>
          </cell>
        </row>
        <row r="332">
          <cell r="C332" t="str">
            <v>G2L LOGISTICA LTDA</v>
          </cell>
          <cell r="D332" t="str">
            <v>OUTROS</v>
          </cell>
          <cell r="E332" t="str">
            <v>OUTROS</v>
          </cell>
          <cell r="F332" t="str">
            <v>G2L</v>
          </cell>
          <cell r="G332" t="str">
            <v>G2L</v>
          </cell>
          <cell r="H332" t="str">
            <v>NOVOS</v>
          </cell>
        </row>
        <row r="333">
          <cell r="C333" t="str">
            <v>HTK LOGISTICA EIRELI</v>
          </cell>
          <cell r="D333" t="str">
            <v>OUTROS</v>
          </cell>
          <cell r="E333" t="str">
            <v>OUTROS</v>
          </cell>
          <cell r="F333" t="str">
            <v>HTK LOGÍSTICA</v>
          </cell>
          <cell r="G333" t="str">
            <v>OUTROS</v>
          </cell>
          <cell r="H333" t="str">
            <v>OUTROS</v>
          </cell>
        </row>
        <row r="334">
          <cell r="C334" t="str">
            <v>L I J LOGISTICA E TRANSPORTES - EIRELI</v>
          </cell>
          <cell r="D334" t="str">
            <v>OUTROS</v>
          </cell>
          <cell r="E334" t="str">
            <v>OUTROS</v>
          </cell>
          <cell r="F334" t="str">
            <v>RODOCARGAS</v>
          </cell>
          <cell r="G334" t="str">
            <v>OUTROS</v>
          </cell>
          <cell r="H334" t="str">
            <v>OUTROS</v>
          </cell>
        </row>
        <row r="335">
          <cell r="C335" t="str">
            <v>EVEREST EXS GESTAO LOGISTICA LTDA - BA</v>
          </cell>
          <cell r="D335" t="str">
            <v>AGRO</v>
          </cell>
          <cell r="E335" t="str">
            <v>OUTROS</v>
          </cell>
          <cell r="F335" t="str">
            <v>EVEREST EXS</v>
          </cell>
          <cell r="G335" t="str">
            <v>OUTROS</v>
          </cell>
          <cell r="H335" t="str">
            <v>OUTROS</v>
          </cell>
        </row>
        <row r="336">
          <cell r="C336" t="str">
            <v>AUNDE BRASIL S.A.</v>
          </cell>
          <cell r="D336" t="str">
            <v>OUTROS</v>
          </cell>
          <cell r="E336" t="str">
            <v>OUTROS</v>
          </cell>
          <cell r="F336" t="str">
            <v>AUNDE</v>
          </cell>
          <cell r="G336" t="str">
            <v>AUNDE</v>
          </cell>
          <cell r="H336" t="str">
            <v>NOVOS</v>
          </cell>
        </row>
        <row r="337">
          <cell r="C337" t="str">
            <v>M. DIAS BRANCO S.A.</v>
          </cell>
          <cell r="D337" t="str">
            <v>OUTROS</v>
          </cell>
          <cell r="E337" t="str">
            <v>OUTROS</v>
          </cell>
          <cell r="F337" t="str">
            <v>M.DIAS</v>
          </cell>
          <cell r="G337" t="str">
            <v>M.DIAS</v>
          </cell>
          <cell r="H337" t="str">
            <v>NOVOS</v>
          </cell>
        </row>
        <row r="338">
          <cell r="C338" t="str">
            <v>RFJ TRANSPORTES E LOGISTICA LTDA</v>
          </cell>
          <cell r="D338" t="str">
            <v>OUTROS</v>
          </cell>
          <cell r="E338" t="str">
            <v>OUTROS</v>
          </cell>
          <cell r="F338" t="str">
            <v>RFJ TRANSPORTES</v>
          </cell>
          <cell r="G338" t="str">
            <v>OUTROS</v>
          </cell>
          <cell r="H338" t="str">
            <v>OUTROS</v>
          </cell>
        </row>
        <row r="339">
          <cell r="C339" t="str">
            <v>INTEP INDUSTRIA PLASTICA LTDA</v>
          </cell>
          <cell r="D339" t="str">
            <v>OUTROS</v>
          </cell>
          <cell r="E339" t="str">
            <v>OUTROS</v>
          </cell>
          <cell r="F339" t="str">
            <v>INTEP PLÁSTICOS</v>
          </cell>
          <cell r="G339" t="str">
            <v>OUTROS</v>
          </cell>
          <cell r="H339" t="str">
            <v>OUTROS</v>
          </cell>
        </row>
        <row r="340">
          <cell r="C340" t="str">
            <v>COSTA &amp; TAVARES TRANSPORTES RODOVIARIOS DE CARGAS LTD</v>
          </cell>
          <cell r="D340" t="str">
            <v>OUTROS</v>
          </cell>
          <cell r="E340" t="str">
            <v>OUTROS</v>
          </cell>
          <cell r="F340" t="str">
            <v>COSTA &amp; TAVARES</v>
          </cell>
          <cell r="G340" t="str">
            <v>OUTROS</v>
          </cell>
          <cell r="H340" t="str">
            <v>OUTROS</v>
          </cell>
        </row>
        <row r="341">
          <cell r="C341" t="str">
            <v>COM. E IND. DE CEREAIS E TRANSP. MACIEL LTDA</v>
          </cell>
          <cell r="D341" t="str">
            <v>OUTROS</v>
          </cell>
          <cell r="E341" t="str">
            <v>OUTROS</v>
          </cell>
          <cell r="F341" t="str">
            <v>PRODUTOS DO PADRE</v>
          </cell>
          <cell r="G341" t="str">
            <v>OUTROS</v>
          </cell>
          <cell r="H341" t="str">
            <v>OUTROS</v>
          </cell>
        </row>
        <row r="342">
          <cell r="C342" t="str">
            <v>COMPANHIA BRASILEIRA DE ALUMINIO - PCA</v>
          </cell>
          <cell r="D342" t="str">
            <v>CBA</v>
          </cell>
          <cell r="E342" t="str">
            <v>CBA</v>
          </cell>
          <cell r="F342" t="str">
            <v>CBA</v>
          </cell>
          <cell r="G342" t="str">
            <v>CBA</v>
          </cell>
          <cell r="H342" t="str">
            <v>CBA</v>
          </cell>
        </row>
        <row r="343">
          <cell r="C343" t="str">
            <v>CITROSUCO S/A AGROINDUSTRIA</v>
          </cell>
          <cell r="D343" t="str">
            <v>AGRO</v>
          </cell>
          <cell r="E343" t="str">
            <v>OUTROS</v>
          </cell>
          <cell r="F343" t="str">
            <v>CITROSUCO</v>
          </cell>
          <cell r="G343" t="str">
            <v>CITROSUCO</v>
          </cell>
          <cell r="H343" t="str">
            <v>NOVOS</v>
          </cell>
        </row>
        <row r="344">
          <cell r="C344" t="str">
            <v>SF COMERCIO DE GIPSITA E GESSO AGRICOLA EIRELI</v>
          </cell>
          <cell r="D344" t="str">
            <v>AGRO</v>
          </cell>
          <cell r="E344" t="str">
            <v>OUTROS</v>
          </cell>
          <cell r="F344" t="str">
            <v>SF COMÉRCIO DE GIPSITA E GESSO AGRÍCOLA</v>
          </cell>
          <cell r="G344" t="str">
            <v>OUTROS</v>
          </cell>
          <cell r="H344" t="str">
            <v>OUTROS</v>
          </cell>
        </row>
        <row r="345">
          <cell r="C345" t="str">
            <v>SOLENIS ESPECIALIDADES QUIMICAS LTDA</v>
          </cell>
          <cell r="D345" t="str">
            <v>OUTROS</v>
          </cell>
          <cell r="E345" t="str">
            <v>OUTROS</v>
          </cell>
          <cell r="F345" t="str">
            <v>SOLENIS ESPECIALIDADES</v>
          </cell>
          <cell r="G345" t="str">
            <v>OUTROS</v>
          </cell>
          <cell r="H345" t="str">
            <v>OUTROS</v>
          </cell>
        </row>
        <row r="346">
          <cell r="C346" t="str">
            <v>ENVALIOR INDUSTRIA DE MATERIAIS DE PERFOMANCE LTDA</v>
          </cell>
          <cell r="D346" t="str">
            <v>OUTROS</v>
          </cell>
          <cell r="E346" t="str">
            <v>LANXESS</v>
          </cell>
          <cell r="F346" t="str">
            <v>LANXESS</v>
          </cell>
          <cell r="G346" t="str">
            <v>LANXESS</v>
          </cell>
          <cell r="H346" t="str">
            <v>LANXESS</v>
          </cell>
        </row>
        <row r="347">
          <cell r="C347" t="str">
            <v>Lagotela Eireli EPP</v>
          </cell>
          <cell r="D347" t="str">
            <v>OUTROS</v>
          </cell>
          <cell r="E347" t="str">
            <v>OUTROS</v>
          </cell>
          <cell r="F347" t="str">
            <v>LAGOTELA</v>
          </cell>
          <cell r="G347" t="str">
            <v>OUTROS</v>
          </cell>
          <cell r="H347" t="str">
            <v>OUTROS</v>
          </cell>
        </row>
        <row r="348">
          <cell r="C348" t="str">
            <v>COLGATE-PALMOLIVE COMERCIAL LTDA - IMIGRANTES</v>
          </cell>
          <cell r="D348" t="str">
            <v>OUTROS</v>
          </cell>
          <cell r="E348" t="str">
            <v>OUTROS</v>
          </cell>
          <cell r="F348" t="str">
            <v>COLGATE</v>
          </cell>
          <cell r="G348" t="str">
            <v>COLGATE</v>
          </cell>
          <cell r="H348" t="str">
            <v>NOVOS</v>
          </cell>
        </row>
        <row r="349">
          <cell r="C349" t="str">
            <v>MADEPAR PAPEL E EMBALAGEM</v>
          </cell>
          <cell r="D349" t="str">
            <v>OUTROS</v>
          </cell>
          <cell r="E349" t="str">
            <v>OUTROS</v>
          </cell>
          <cell r="F349" t="str">
            <v>MADEPAR</v>
          </cell>
          <cell r="G349" t="str">
            <v>OUTROS</v>
          </cell>
          <cell r="H349" t="str">
            <v>OUTROS</v>
          </cell>
        </row>
        <row r="350">
          <cell r="C350" t="str">
            <v>M DIAS BRANCO SA INDUSTRIA E COMERCIO DE ALIMENTOS</v>
          </cell>
          <cell r="D350" t="str">
            <v>OUTROS</v>
          </cell>
          <cell r="E350" t="str">
            <v>OUTROS</v>
          </cell>
          <cell r="F350" t="str">
            <v>M.DIAS</v>
          </cell>
          <cell r="G350" t="str">
            <v>M.DIAS</v>
          </cell>
          <cell r="H350" t="str">
            <v>NOVOS</v>
          </cell>
        </row>
        <row r="351">
          <cell r="C351" t="str">
            <v>NEOBETEL EPI, EQUIPAMENTOS DE PROTEÇÃO INDIVIDUAL</v>
          </cell>
          <cell r="D351" t="str">
            <v>OUTROS</v>
          </cell>
          <cell r="E351" t="str">
            <v>OUTROS</v>
          </cell>
          <cell r="F351" t="str">
            <v>NEOBETEL</v>
          </cell>
          <cell r="G351" t="str">
            <v>NEOBETEL</v>
          </cell>
          <cell r="H351" t="str">
            <v>OUTROS</v>
          </cell>
        </row>
        <row r="352">
          <cell r="C352" t="str">
            <v>GOMES &amp; CAVALCANTE COMERCIO DE</v>
          </cell>
          <cell r="D352" t="str">
            <v>OUTROS</v>
          </cell>
          <cell r="E352" t="str">
            <v>OUTROS</v>
          </cell>
          <cell r="F352" t="str">
            <v>GOMES &amp; CAVALCANTE</v>
          </cell>
          <cell r="G352" t="str">
            <v>OUTROS</v>
          </cell>
          <cell r="H352" t="str">
            <v>OUTROS</v>
          </cell>
        </row>
        <row r="353">
          <cell r="C353" t="str">
            <v>AMBEV S.A. - VIDROS RIO DE JANEIRO</v>
          </cell>
          <cell r="D353" t="str">
            <v>AMBEV</v>
          </cell>
          <cell r="E353" t="str">
            <v>AMBEV</v>
          </cell>
          <cell r="F353" t="str">
            <v>AMBEV</v>
          </cell>
          <cell r="G353" t="str">
            <v>AMBEV</v>
          </cell>
          <cell r="H353" t="str">
            <v>AMBEV</v>
          </cell>
        </row>
        <row r="354">
          <cell r="C354" t="str">
            <v>GLOBAL LOGISTICA LTDA</v>
          </cell>
          <cell r="D354" t="str">
            <v>OUTROS</v>
          </cell>
          <cell r="E354" t="str">
            <v>OUTROS</v>
          </cell>
          <cell r="F354" t="str">
            <v>RODOPRIMA TRANSPORTES</v>
          </cell>
          <cell r="G354" t="str">
            <v>OUTROS</v>
          </cell>
          <cell r="H354" t="str">
            <v>OUTROS</v>
          </cell>
        </row>
        <row r="355">
          <cell r="C355" t="str">
            <v>F.CDR.CAMACARI-DC - Ambev</v>
          </cell>
          <cell r="D355" t="str">
            <v>AMBEV</v>
          </cell>
          <cell r="E355" t="str">
            <v>AMBEV</v>
          </cell>
          <cell r="F355" t="str">
            <v>AMBEV</v>
          </cell>
          <cell r="G355" t="str">
            <v>AMBEV</v>
          </cell>
          <cell r="H355" t="str">
            <v>AMBEV</v>
          </cell>
        </row>
        <row r="356">
          <cell r="C356" t="str">
            <v>GD TRANSPORTES E LOGÍSTICA LTDA</v>
          </cell>
          <cell r="D356" t="str">
            <v>OUTROS</v>
          </cell>
          <cell r="E356" t="str">
            <v>OUTROS</v>
          </cell>
          <cell r="F356" t="str">
            <v>GD TRANSPORTES</v>
          </cell>
          <cell r="G356" t="str">
            <v>OUTROS</v>
          </cell>
          <cell r="H356" t="str">
            <v>OUTROS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BD41-C619-4317-9B82-3D358D03974B}">
  <dimension ref="A1:M840"/>
  <sheetViews>
    <sheetView tabSelected="1" workbookViewId="0">
      <selection activeCell="F4" sqref="F4"/>
    </sheetView>
  </sheetViews>
  <sheetFormatPr defaultRowHeight="11.25" outlineLevelCol="1" x14ac:dyDescent="0.2"/>
  <cols>
    <col min="1" max="1" width="22" style="1" bestFit="1" customWidth="1" outlineLevel="1"/>
    <col min="2" max="2" width="10.1640625" style="5" bestFit="1" customWidth="1" outlineLevel="1"/>
    <col min="3" max="3" width="12.33203125" style="1" bestFit="1" customWidth="1"/>
    <col min="4" max="4" width="35" style="1" bestFit="1" customWidth="1"/>
    <col min="5" max="5" width="6.83203125" style="1" bestFit="1" customWidth="1"/>
    <col min="6" max="6" width="11" style="4" bestFit="1" customWidth="1"/>
    <col min="7" max="7" width="10.33203125" style="4" bestFit="1" customWidth="1"/>
    <col min="8" max="8" width="5.83203125" style="1" bestFit="1" customWidth="1"/>
    <col min="9" max="9" width="5" style="1" bestFit="1" customWidth="1"/>
    <col min="10" max="10" width="51.5" style="1" bestFit="1" customWidth="1"/>
    <col min="11" max="11" width="10.33203125" style="1" bestFit="1" customWidth="1"/>
    <col min="12" max="12" width="9.1640625" style="2" bestFit="1" customWidth="1"/>
    <col min="13" max="16384" width="9.33203125" style="1"/>
  </cols>
  <sheetData>
    <row r="1" spans="1:13" s="3" customFormat="1" x14ac:dyDescent="0.2">
      <c r="A1" s="8" t="s">
        <v>7</v>
      </c>
      <c r="B1" s="9" t="s">
        <v>649</v>
      </c>
      <c r="C1" s="8" t="s">
        <v>8</v>
      </c>
      <c r="D1" s="8" t="s">
        <v>9</v>
      </c>
      <c r="E1" s="8" t="s">
        <v>10</v>
      </c>
      <c r="F1" s="9" t="s">
        <v>11</v>
      </c>
      <c r="G1" s="9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10" t="s">
        <v>17</v>
      </c>
    </row>
    <row r="2" spans="1:13" x14ac:dyDescent="0.2">
      <c r="A2" s="6" t="str">
        <f>VLOOKUP(J2,[1]Clientes!$C:$H,6,0)</f>
        <v>CBA</v>
      </c>
      <c r="B2" s="7">
        <f t="shared" ref="B2:B51" si="0">QUOTIENT(F2,1)</f>
        <v>45201</v>
      </c>
      <c r="C2" s="1" t="s">
        <v>182</v>
      </c>
      <c r="D2" s="1" t="s">
        <v>183</v>
      </c>
      <c r="E2" s="1" t="s">
        <v>184</v>
      </c>
      <c r="F2" s="4">
        <v>45201.301388888889</v>
      </c>
      <c r="G2" s="4">
        <v>45201.301388888889</v>
      </c>
      <c r="H2" s="1" t="s">
        <v>21</v>
      </c>
      <c r="I2" s="1" t="s">
        <v>22</v>
      </c>
      <c r="J2" s="1" t="s">
        <v>69</v>
      </c>
      <c r="L2" s="2">
        <v>3940.33</v>
      </c>
      <c r="M2" s="1" t="s">
        <v>0</v>
      </c>
    </row>
    <row r="3" spans="1:13" x14ac:dyDescent="0.2">
      <c r="A3" s="6" t="str">
        <f>VLOOKUP(J3,[1]Clientes!$C:$H,6,0)</f>
        <v>OUTROS</v>
      </c>
      <c r="B3" s="7">
        <f>QUOTIENT(F3,1)</f>
        <v>45201</v>
      </c>
      <c r="C3" s="1" t="s">
        <v>18</v>
      </c>
      <c r="D3" s="1" t="s">
        <v>19</v>
      </c>
      <c r="E3" s="1" t="s">
        <v>20</v>
      </c>
      <c r="F3" s="4">
        <v>45201.443055555559</v>
      </c>
      <c r="G3" s="4">
        <v>45201.443055555559</v>
      </c>
      <c r="H3" s="1" t="s">
        <v>21</v>
      </c>
      <c r="I3" s="1" t="s">
        <v>22</v>
      </c>
      <c r="J3" s="1" t="s">
        <v>23</v>
      </c>
      <c r="L3" s="2">
        <v>1500</v>
      </c>
      <c r="M3" s="1" t="s">
        <v>4</v>
      </c>
    </row>
    <row r="4" spans="1:13" x14ac:dyDescent="0.2">
      <c r="A4" s="6" t="str">
        <f>VLOOKUP(J4,[1]Clientes!$C:$H,6,0)</f>
        <v>CBA</v>
      </c>
      <c r="B4" s="7">
        <f t="shared" si="0"/>
        <v>45201</v>
      </c>
      <c r="C4" s="1" t="s">
        <v>185</v>
      </c>
      <c r="D4" s="1" t="s">
        <v>183</v>
      </c>
      <c r="E4" s="1" t="s">
        <v>184</v>
      </c>
      <c r="F4" s="4">
        <v>45201.618055555555</v>
      </c>
      <c r="G4" s="4">
        <v>45201.618055555555</v>
      </c>
      <c r="H4" s="1" t="s">
        <v>21</v>
      </c>
      <c r="I4" s="1" t="s">
        <v>22</v>
      </c>
      <c r="J4" s="1" t="s">
        <v>186</v>
      </c>
      <c r="L4" s="2">
        <v>1733.75</v>
      </c>
      <c r="M4" s="1" t="s">
        <v>0</v>
      </c>
    </row>
    <row r="5" spans="1:13" x14ac:dyDescent="0.2">
      <c r="A5" s="6" t="str">
        <f>VLOOKUP(J5,[1]Clientes!$C:$H,6,0)</f>
        <v>IMERYS</v>
      </c>
      <c r="B5" s="7">
        <f t="shared" si="0"/>
        <v>45201</v>
      </c>
      <c r="C5" s="1" t="s">
        <v>187</v>
      </c>
      <c r="D5" s="1" t="s">
        <v>183</v>
      </c>
      <c r="E5" s="1" t="s">
        <v>184</v>
      </c>
      <c r="F5" s="4">
        <v>45201.648611111108</v>
      </c>
      <c r="G5" s="4">
        <v>45201.648611111108</v>
      </c>
      <c r="H5" s="1" t="s">
        <v>21</v>
      </c>
      <c r="I5" s="1" t="s">
        <v>22</v>
      </c>
      <c r="J5" s="1" t="s">
        <v>188</v>
      </c>
      <c r="L5" s="2">
        <v>821.11</v>
      </c>
      <c r="M5" s="1" t="s">
        <v>6</v>
      </c>
    </row>
    <row r="6" spans="1:13" x14ac:dyDescent="0.2">
      <c r="A6" s="6" t="str">
        <f>VLOOKUP(J6,[1]Clientes!$C:$H,6,0)</f>
        <v>IMERYS</v>
      </c>
      <c r="B6" s="7">
        <f t="shared" si="0"/>
        <v>45201</v>
      </c>
      <c r="C6" s="1" t="s">
        <v>189</v>
      </c>
      <c r="D6" s="1" t="s">
        <v>183</v>
      </c>
      <c r="E6" s="1" t="s">
        <v>184</v>
      </c>
      <c r="F6" s="4">
        <v>45201.658333333333</v>
      </c>
      <c r="G6" s="4">
        <v>45201.658333333333</v>
      </c>
      <c r="H6" s="1" t="s">
        <v>21</v>
      </c>
      <c r="I6" s="1" t="s">
        <v>22</v>
      </c>
      <c r="J6" s="1" t="s">
        <v>188</v>
      </c>
      <c r="L6" s="2">
        <v>958.94</v>
      </c>
      <c r="M6" s="1" t="s">
        <v>6</v>
      </c>
    </row>
    <row r="7" spans="1:13" x14ac:dyDescent="0.2">
      <c r="A7" s="6" t="str">
        <f>VLOOKUP(J7,[1]Clientes!$C:$H,6,0)</f>
        <v>IMERYS</v>
      </c>
      <c r="B7" s="7">
        <f t="shared" si="0"/>
        <v>45201</v>
      </c>
      <c r="C7" s="1" t="s">
        <v>190</v>
      </c>
      <c r="D7" s="1" t="s">
        <v>183</v>
      </c>
      <c r="E7" s="1" t="s">
        <v>184</v>
      </c>
      <c r="F7" s="4">
        <v>45201.669444444444</v>
      </c>
      <c r="G7" s="4">
        <v>45201.669444444444</v>
      </c>
      <c r="H7" s="1" t="s">
        <v>21</v>
      </c>
      <c r="I7" s="1" t="s">
        <v>22</v>
      </c>
      <c r="J7" s="1" t="s">
        <v>188</v>
      </c>
      <c r="L7" s="2">
        <v>2077.86</v>
      </c>
      <c r="M7" s="1" t="s">
        <v>6</v>
      </c>
    </row>
    <row r="8" spans="1:13" x14ac:dyDescent="0.2">
      <c r="A8" s="6" t="str">
        <f>VLOOKUP(J8,[1]Clientes!$C:$H,6,0)</f>
        <v>CBA</v>
      </c>
      <c r="B8" s="7">
        <f t="shared" si="0"/>
        <v>45201</v>
      </c>
      <c r="C8" s="1" t="s">
        <v>191</v>
      </c>
      <c r="D8" s="1" t="s">
        <v>183</v>
      </c>
      <c r="E8" s="1" t="s">
        <v>184</v>
      </c>
      <c r="F8" s="4">
        <v>45201.67083333333</v>
      </c>
      <c r="G8" s="4">
        <v>45201.67083333333</v>
      </c>
      <c r="H8" s="1" t="s">
        <v>21</v>
      </c>
      <c r="I8" s="1" t="s">
        <v>22</v>
      </c>
      <c r="J8" s="1" t="s">
        <v>69</v>
      </c>
      <c r="L8" s="2">
        <v>1363.13</v>
      </c>
      <c r="M8" s="1" t="s">
        <v>0</v>
      </c>
    </row>
    <row r="9" spans="1:13" x14ac:dyDescent="0.2">
      <c r="A9" s="6" t="str">
        <f>VLOOKUP(J9,[1]Clientes!$C:$H,6,0)</f>
        <v>CBA</v>
      </c>
      <c r="B9" s="7">
        <f t="shared" si="0"/>
        <v>45201</v>
      </c>
      <c r="C9" s="1" t="s">
        <v>192</v>
      </c>
      <c r="D9" s="1" t="s">
        <v>183</v>
      </c>
      <c r="E9" s="1" t="s">
        <v>184</v>
      </c>
      <c r="F9" s="4">
        <v>45201.681944444441</v>
      </c>
      <c r="G9" s="4">
        <v>45201.681944444441</v>
      </c>
      <c r="H9" s="1" t="s">
        <v>21</v>
      </c>
      <c r="I9" s="1" t="s">
        <v>22</v>
      </c>
      <c r="J9" s="1" t="s">
        <v>69</v>
      </c>
      <c r="L9" s="2">
        <v>1363.13</v>
      </c>
      <c r="M9" s="1" t="s">
        <v>0</v>
      </c>
    </row>
    <row r="10" spans="1:13" x14ac:dyDescent="0.2">
      <c r="A10" s="6" t="str">
        <f>VLOOKUP(J10,[1]Clientes!$C:$H,6,0)</f>
        <v>CBA</v>
      </c>
      <c r="B10" s="7">
        <f t="shared" si="0"/>
        <v>45201</v>
      </c>
      <c r="C10" s="1" t="s">
        <v>193</v>
      </c>
      <c r="D10" s="1" t="s">
        <v>183</v>
      </c>
      <c r="E10" s="1" t="s">
        <v>184</v>
      </c>
      <c r="F10" s="4">
        <v>45201.68472222222</v>
      </c>
      <c r="G10" s="4">
        <v>45201.68472222222</v>
      </c>
      <c r="H10" s="1" t="s">
        <v>21</v>
      </c>
      <c r="I10" s="1" t="s">
        <v>22</v>
      </c>
      <c r="J10" s="1" t="s">
        <v>69</v>
      </c>
      <c r="L10" s="2">
        <v>1363.13</v>
      </c>
      <c r="M10" s="1" t="s">
        <v>0</v>
      </c>
    </row>
    <row r="11" spans="1:13" x14ac:dyDescent="0.2">
      <c r="A11" s="6" t="str">
        <f>VLOOKUP(J11,[1]Clientes!$C:$H,6,0)</f>
        <v>IMERYS</v>
      </c>
      <c r="B11" s="7">
        <f t="shared" si="0"/>
        <v>45201</v>
      </c>
      <c r="C11" s="1" t="s">
        <v>194</v>
      </c>
      <c r="D11" s="1" t="s">
        <v>183</v>
      </c>
      <c r="E11" s="1" t="s">
        <v>184</v>
      </c>
      <c r="F11" s="4">
        <v>45201.688194444447</v>
      </c>
      <c r="G11" s="4">
        <v>45201.688194444447</v>
      </c>
      <c r="H11" s="1" t="s">
        <v>21</v>
      </c>
      <c r="I11" s="1" t="s">
        <v>22</v>
      </c>
      <c r="J11" s="1" t="s">
        <v>188</v>
      </c>
      <c r="L11" s="2">
        <v>917.42</v>
      </c>
      <c r="M11" s="1" t="s">
        <v>6</v>
      </c>
    </row>
    <row r="12" spans="1:13" x14ac:dyDescent="0.2">
      <c r="A12" s="6" t="str">
        <f>VLOOKUP(J12,[1]Clientes!$C:$H,6,0)</f>
        <v>IMERYS</v>
      </c>
      <c r="B12" s="7">
        <f t="shared" si="0"/>
        <v>45201</v>
      </c>
      <c r="C12" s="1" t="s">
        <v>195</v>
      </c>
      <c r="D12" s="1" t="s">
        <v>183</v>
      </c>
      <c r="E12" s="1" t="s">
        <v>184</v>
      </c>
      <c r="F12" s="4">
        <v>45201.694444444445</v>
      </c>
      <c r="G12" s="4">
        <v>45201.694444444445</v>
      </c>
      <c r="H12" s="1" t="s">
        <v>21</v>
      </c>
      <c r="I12" s="1" t="s">
        <v>22</v>
      </c>
      <c r="J12" s="1" t="s">
        <v>188</v>
      </c>
      <c r="L12" s="2">
        <v>478.1</v>
      </c>
      <c r="M12" s="1" t="s">
        <v>6</v>
      </c>
    </row>
    <row r="13" spans="1:13" x14ac:dyDescent="0.2">
      <c r="A13" s="6" t="s">
        <v>1</v>
      </c>
      <c r="B13" s="7">
        <f t="shared" si="0"/>
        <v>45201</v>
      </c>
      <c r="C13" s="1" t="s">
        <v>24</v>
      </c>
      <c r="D13" s="1" t="s">
        <v>19</v>
      </c>
      <c r="E13" s="1" t="s">
        <v>20</v>
      </c>
      <c r="F13" s="4">
        <v>45201.727083333331</v>
      </c>
      <c r="G13" s="4">
        <v>45201.727083333331</v>
      </c>
      <c r="H13" s="1" t="s">
        <v>21</v>
      </c>
      <c r="I13" s="1" t="s">
        <v>22</v>
      </c>
      <c r="J13" s="1" t="s">
        <v>25</v>
      </c>
      <c r="L13" s="2">
        <v>2240.38</v>
      </c>
      <c r="M13" s="1" t="s">
        <v>1</v>
      </c>
    </row>
    <row r="14" spans="1:13" x14ac:dyDescent="0.2">
      <c r="A14" s="6" t="str">
        <f>VLOOKUP(J14,[1]Clientes!$C:$H,6,0)</f>
        <v>CBA</v>
      </c>
      <c r="B14" s="7">
        <f t="shared" si="0"/>
        <v>45201</v>
      </c>
      <c r="C14" s="1" t="s">
        <v>196</v>
      </c>
      <c r="D14" s="1" t="s">
        <v>183</v>
      </c>
      <c r="E14" s="1" t="s">
        <v>184</v>
      </c>
      <c r="F14" s="4">
        <v>45201.751388888886</v>
      </c>
      <c r="G14" s="4">
        <v>45201.751388888886</v>
      </c>
      <c r="H14" s="1" t="s">
        <v>21</v>
      </c>
      <c r="I14" s="1" t="s">
        <v>22</v>
      </c>
      <c r="J14" s="1" t="s">
        <v>69</v>
      </c>
      <c r="L14" s="2">
        <v>1363.13</v>
      </c>
      <c r="M14" s="1" t="s">
        <v>0</v>
      </c>
    </row>
    <row r="15" spans="1:13" x14ac:dyDescent="0.2">
      <c r="A15" s="6" t="str">
        <f>VLOOKUP(J15,[1]Clientes!$C:$H,6,0)</f>
        <v>VERDE FORTE</v>
      </c>
      <c r="B15" s="7">
        <f t="shared" si="0"/>
        <v>45201</v>
      </c>
      <c r="C15" s="1" t="s">
        <v>26</v>
      </c>
      <c r="D15" s="1" t="s">
        <v>19</v>
      </c>
      <c r="E15" s="1" t="s">
        <v>20</v>
      </c>
      <c r="F15" s="4">
        <v>45201.757638888892</v>
      </c>
      <c r="G15" s="4">
        <v>45201.757638888892</v>
      </c>
      <c r="H15" s="1" t="s">
        <v>21</v>
      </c>
      <c r="I15" s="1" t="s">
        <v>22</v>
      </c>
      <c r="J15" s="1" t="s">
        <v>27</v>
      </c>
      <c r="L15" s="2">
        <v>3346.95</v>
      </c>
      <c r="M15" s="1" t="s">
        <v>2</v>
      </c>
    </row>
    <row r="16" spans="1:13" x14ac:dyDescent="0.2">
      <c r="A16" s="6" t="str">
        <f>VLOOKUP(J16,[1]Clientes!$C:$H,6,0)</f>
        <v>CBA</v>
      </c>
      <c r="B16" s="7">
        <f t="shared" si="0"/>
        <v>45201</v>
      </c>
      <c r="C16" s="1" t="s">
        <v>197</v>
      </c>
      <c r="D16" s="1" t="s">
        <v>183</v>
      </c>
      <c r="E16" s="1" t="s">
        <v>184</v>
      </c>
      <c r="F16" s="4">
        <v>45201.775694444441</v>
      </c>
      <c r="G16" s="4">
        <v>45201.775694444441</v>
      </c>
      <c r="H16" s="1" t="s">
        <v>21</v>
      </c>
      <c r="I16" s="1" t="s">
        <v>22</v>
      </c>
      <c r="J16" s="1" t="s">
        <v>69</v>
      </c>
      <c r="L16" s="2">
        <v>1363.13</v>
      </c>
      <c r="M16" s="1" t="s">
        <v>0</v>
      </c>
    </row>
    <row r="17" spans="1:13" x14ac:dyDescent="0.2">
      <c r="A17" s="6" t="str">
        <f>VLOOKUP(J17,[1]Clientes!$C:$H,6,0)</f>
        <v>UNIPAR</v>
      </c>
      <c r="B17" s="7">
        <f t="shared" si="0"/>
        <v>45201</v>
      </c>
      <c r="C17" s="1" t="s">
        <v>198</v>
      </c>
      <c r="D17" s="1" t="s">
        <v>183</v>
      </c>
      <c r="E17" s="1" t="s">
        <v>184</v>
      </c>
      <c r="F17" s="4">
        <v>45201.779861111114</v>
      </c>
      <c r="G17" s="4">
        <v>45201.779861111114</v>
      </c>
      <c r="H17" s="1" t="s">
        <v>21</v>
      </c>
      <c r="I17" s="1" t="s">
        <v>22</v>
      </c>
      <c r="J17" s="1" t="s">
        <v>63</v>
      </c>
      <c r="L17" s="2">
        <v>9925.14</v>
      </c>
      <c r="M17" s="1" t="s">
        <v>647</v>
      </c>
    </row>
    <row r="18" spans="1:13" x14ac:dyDescent="0.2">
      <c r="A18" s="6" t="s">
        <v>1</v>
      </c>
      <c r="B18" s="7">
        <f t="shared" si="0"/>
        <v>45201</v>
      </c>
      <c r="C18" s="1" t="s">
        <v>28</v>
      </c>
      <c r="D18" s="1" t="s">
        <v>19</v>
      </c>
      <c r="E18" s="1" t="s">
        <v>20</v>
      </c>
      <c r="F18" s="4">
        <v>45201.790277777778</v>
      </c>
      <c r="G18" s="4">
        <v>45201.790277777778</v>
      </c>
      <c r="H18" s="1" t="s">
        <v>21</v>
      </c>
      <c r="I18" s="1" t="s">
        <v>22</v>
      </c>
      <c r="J18" s="1" t="s">
        <v>25</v>
      </c>
      <c r="L18" s="2">
        <v>2256.15</v>
      </c>
      <c r="M18" s="1" t="s">
        <v>1</v>
      </c>
    </row>
    <row r="19" spans="1:13" x14ac:dyDescent="0.2">
      <c r="A19" s="6" t="str">
        <f>VLOOKUP(J19,[1]Clientes!$C:$H,6,0)</f>
        <v>LANXESS</v>
      </c>
      <c r="B19" s="7">
        <f t="shared" si="0"/>
        <v>45201</v>
      </c>
      <c r="C19" s="1" t="s">
        <v>199</v>
      </c>
      <c r="D19" s="1" t="s">
        <v>183</v>
      </c>
      <c r="E19" s="1" t="s">
        <v>184</v>
      </c>
      <c r="F19" s="4">
        <v>45201.820138888892</v>
      </c>
      <c r="G19" s="4">
        <v>45201.820138888892</v>
      </c>
      <c r="H19" s="1" t="s">
        <v>21</v>
      </c>
      <c r="I19" s="1" t="s">
        <v>22</v>
      </c>
      <c r="J19" s="1" t="s">
        <v>200</v>
      </c>
      <c r="L19" s="2">
        <v>937.73</v>
      </c>
      <c r="M19" s="1" t="s">
        <v>648</v>
      </c>
    </row>
    <row r="20" spans="1:13" x14ac:dyDescent="0.2">
      <c r="A20" s="6" t="str">
        <f>VLOOKUP(J20,[1]Clientes!$C:$H,6,0)</f>
        <v>LANXESS</v>
      </c>
      <c r="B20" s="7">
        <f t="shared" si="0"/>
        <v>45201</v>
      </c>
      <c r="C20" s="1" t="s">
        <v>201</v>
      </c>
      <c r="D20" s="1" t="s">
        <v>183</v>
      </c>
      <c r="E20" s="1" t="s">
        <v>184</v>
      </c>
      <c r="F20" s="4">
        <v>45201.838194444441</v>
      </c>
      <c r="G20" s="4">
        <v>45201.838194444441</v>
      </c>
      <c r="H20" s="1" t="s">
        <v>21</v>
      </c>
      <c r="I20" s="1" t="s">
        <v>22</v>
      </c>
      <c r="J20" s="1" t="s">
        <v>202</v>
      </c>
      <c r="L20" s="2">
        <v>1516.36</v>
      </c>
      <c r="M20" s="1" t="s">
        <v>648</v>
      </c>
    </row>
    <row r="21" spans="1:13" x14ac:dyDescent="0.2">
      <c r="A21" s="6" t="str">
        <f>VLOOKUP(J21,[1]Clientes!$C:$H,6,0)</f>
        <v>LANXESS</v>
      </c>
      <c r="B21" s="7">
        <f t="shared" si="0"/>
        <v>45201</v>
      </c>
      <c r="C21" s="1" t="s">
        <v>203</v>
      </c>
      <c r="D21" s="1" t="s">
        <v>183</v>
      </c>
      <c r="E21" s="1" t="s">
        <v>184</v>
      </c>
      <c r="F21" s="4">
        <v>45201.852083333331</v>
      </c>
      <c r="G21" s="4">
        <v>45201.852083333331</v>
      </c>
      <c r="H21" s="1" t="s">
        <v>21</v>
      </c>
      <c r="I21" s="1" t="s">
        <v>22</v>
      </c>
      <c r="J21" s="1" t="s">
        <v>202</v>
      </c>
      <c r="L21" s="2">
        <v>1663.82</v>
      </c>
      <c r="M21" s="1" t="s">
        <v>648</v>
      </c>
    </row>
    <row r="22" spans="1:13" x14ac:dyDescent="0.2">
      <c r="A22" s="6" t="s">
        <v>1</v>
      </c>
      <c r="B22" s="7">
        <f t="shared" si="0"/>
        <v>45201</v>
      </c>
      <c r="C22" s="1" t="s">
        <v>29</v>
      </c>
      <c r="D22" s="1" t="s">
        <v>19</v>
      </c>
      <c r="E22" s="1" t="s">
        <v>20</v>
      </c>
      <c r="F22" s="4">
        <v>45201.866666666669</v>
      </c>
      <c r="G22" s="4">
        <v>45201.866666666669</v>
      </c>
      <c r="H22" s="1" t="s">
        <v>21</v>
      </c>
      <c r="I22" s="1" t="s">
        <v>22</v>
      </c>
      <c r="J22" s="1" t="s">
        <v>25</v>
      </c>
      <c r="L22" s="2">
        <v>2025.09</v>
      </c>
      <c r="M22" s="1" t="s">
        <v>1</v>
      </c>
    </row>
    <row r="23" spans="1:13" x14ac:dyDescent="0.2">
      <c r="A23" s="6" t="str">
        <f>VLOOKUP(J23,[1]Clientes!$C:$H,6,0)</f>
        <v>CBA</v>
      </c>
      <c r="B23" s="7">
        <f t="shared" si="0"/>
        <v>45201</v>
      </c>
      <c r="C23" s="1" t="s">
        <v>204</v>
      </c>
      <c r="D23" s="1" t="s">
        <v>183</v>
      </c>
      <c r="E23" s="1" t="s">
        <v>184</v>
      </c>
      <c r="F23" s="4">
        <v>45201.886805555558</v>
      </c>
      <c r="G23" s="4">
        <v>45201.886805555558</v>
      </c>
      <c r="H23" s="1" t="s">
        <v>21</v>
      </c>
      <c r="I23" s="1" t="s">
        <v>22</v>
      </c>
      <c r="J23" s="1" t="s">
        <v>69</v>
      </c>
      <c r="L23" s="2">
        <v>1434.88</v>
      </c>
      <c r="M23" s="1" t="s">
        <v>0</v>
      </c>
    </row>
    <row r="24" spans="1:13" x14ac:dyDescent="0.2">
      <c r="A24" s="6" t="str">
        <f>VLOOKUP(J24,[1]Clientes!$C:$H,6,0)</f>
        <v>UNIPAR</v>
      </c>
      <c r="B24" s="7">
        <f t="shared" si="0"/>
        <v>45201</v>
      </c>
      <c r="C24" s="1" t="s">
        <v>205</v>
      </c>
      <c r="D24" s="1" t="s">
        <v>183</v>
      </c>
      <c r="E24" s="1" t="s">
        <v>184</v>
      </c>
      <c r="F24" s="4">
        <v>45201.906944444447</v>
      </c>
      <c r="G24" s="4">
        <v>45201.906944444447</v>
      </c>
      <c r="H24" s="1" t="s">
        <v>21</v>
      </c>
      <c r="I24" s="1" t="s">
        <v>22</v>
      </c>
      <c r="J24" s="1" t="s">
        <v>63</v>
      </c>
      <c r="L24" s="2">
        <v>10007.719999999999</v>
      </c>
      <c r="M24" s="1" t="s">
        <v>647</v>
      </c>
    </row>
    <row r="25" spans="1:13" x14ac:dyDescent="0.2">
      <c r="A25" s="6" t="str">
        <f>VLOOKUP(J25,[1]Clientes!$C:$H,6,0)</f>
        <v>UNIPAR</v>
      </c>
      <c r="B25" s="7">
        <f t="shared" si="0"/>
        <v>45201</v>
      </c>
      <c r="C25" s="1" t="s">
        <v>206</v>
      </c>
      <c r="D25" s="1" t="s">
        <v>183</v>
      </c>
      <c r="E25" s="1" t="s">
        <v>184</v>
      </c>
      <c r="F25" s="4">
        <v>45201.912499999999</v>
      </c>
      <c r="G25" s="4">
        <v>45201.912499999999</v>
      </c>
      <c r="H25" s="1" t="s">
        <v>21</v>
      </c>
      <c r="I25" s="1" t="s">
        <v>22</v>
      </c>
      <c r="J25" s="1" t="s">
        <v>63</v>
      </c>
      <c r="L25" s="2">
        <v>9925.14</v>
      </c>
      <c r="M25" s="1" t="s">
        <v>647</v>
      </c>
    </row>
    <row r="26" spans="1:13" x14ac:dyDescent="0.2">
      <c r="A26" s="6" t="str">
        <f>VLOOKUP(J26,[1]Clientes!$C:$H,6,0)</f>
        <v>CBA</v>
      </c>
      <c r="B26" s="7">
        <f t="shared" si="0"/>
        <v>45201</v>
      </c>
      <c r="C26" s="1" t="s">
        <v>207</v>
      </c>
      <c r="D26" s="1" t="s">
        <v>183</v>
      </c>
      <c r="E26" s="1" t="s">
        <v>184</v>
      </c>
      <c r="F26" s="4">
        <v>45201.913194444445</v>
      </c>
      <c r="G26" s="4">
        <v>45201.913194444445</v>
      </c>
      <c r="H26" s="1" t="s">
        <v>21</v>
      </c>
      <c r="I26" s="1" t="s">
        <v>22</v>
      </c>
      <c r="J26" s="1" t="s">
        <v>69</v>
      </c>
      <c r="L26" s="2">
        <v>1434.88</v>
      </c>
      <c r="M26" s="1" t="s">
        <v>0</v>
      </c>
    </row>
    <row r="27" spans="1:13" x14ac:dyDescent="0.2">
      <c r="A27" s="6" t="str">
        <f>VLOOKUP(J27,[1]Clientes!$C:$H,6,0)</f>
        <v>CBA</v>
      </c>
      <c r="B27" s="7">
        <f t="shared" si="0"/>
        <v>45201</v>
      </c>
      <c r="C27" s="1" t="s">
        <v>208</v>
      </c>
      <c r="D27" s="1" t="s">
        <v>183</v>
      </c>
      <c r="E27" s="1" t="s">
        <v>184</v>
      </c>
      <c r="F27" s="4">
        <v>45201.946527777778</v>
      </c>
      <c r="G27" s="4">
        <v>45201.946527777778</v>
      </c>
      <c r="H27" s="1" t="s">
        <v>21</v>
      </c>
      <c r="I27" s="1" t="s">
        <v>22</v>
      </c>
      <c r="J27" s="1" t="s">
        <v>69</v>
      </c>
      <c r="L27" s="2">
        <v>3125.57</v>
      </c>
      <c r="M27" s="1" t="s">
        <v>0</v>
      </c>
    </row>
    <row r="28" spans="1:13" x14ac:dyDescent="0.2">
      <c r="A28" s="6" t="str">
        <f>VLOOKUP(J28,[1]Clientes!$C:$H,6,0)</f>
        <v>CBA</v>
      </c>
      <c r="B28" s="7">
        <f t="shared" si="0"/>
        <v>45202</v>
      </c>
      <c r="C28" s="1" t="s">
        <v>209</v>
      </c>
      <c r="D28" s="1" t="s">
        <v>183</v>
      </c>
      <c r="E28" s="1" t="s">
        <v>184</v>
      </c>
      <c r="F28" s="4">
        <v>45202.36041666667</v>
      </c>
      <c r="G28" s="4">
        <v>45202.36041666667</v>
      </c>
      <c r="H28" s="1" t="s">
        <v>21</v>
      </c>
      <c r="I28" s="1" t="s">
        <v>22</v>
      </c>
      <c r="J28" s="1" t="s">
        <v>210</v>
      </c>
      <c r="L28" s="2">
        <v>3894.2</v>
      </c>
      <c r="M28" s="1" t="s">
        <v>0</v>
      </c>
    </row>
    <row r="29" spans="1:13" x14ac:dyDescent="0.2">
      <c r="A29" s="6" t="str">
        <f>VLOOKUP(J29,[1]Clientes!$C:$H,6,0)</f>
        <v>CBA</v>
      </c>
      <c r="B29" s="7">
        <f t="shared" si="0"/>
        <v>45202</v>
      </c>
      <c r="C29" s="1" t="s">
        <v>211</v>
      </c>
      <c r="D29" s="1" t="s">
        <v>183</v>
      </c>
      <c r="E29" s="1" t="s">
        <v>184</v>
      </c>
      <c r="F29" s="4">
        <v>45202.375694444447</v>
      </c>
      <c r="G29" s="4">
        <v>45202.375694444447</v>
      </c>
      <c r="H29" s="1" t="s">
        <v>21</v>
      </c>
      <c r="I29" s="1" t="s">
        <v>22</v>
      </c>
      <c r="J29" s="1" t="s">
        <v>210</v>
      </c>
      <c r="L29" s="2">
        <v>3897.01</v>
      </c>
      <c r="M29" s="1" t="s">
        <v>0</v>
      </c>
    </row>
    <row r="30" spans="1:13" x14ac:dyDescent="0.2">
      <c r="A30" s="6" t="str">
        <f>VLOOKUP(J30,[1]Clientes!$C:$H,6,0)</f>
        <v>CBA</v>
      </c>
      <c r="B30" s="7">
        <f t="shared" si="0"/>
        <v>45202</v>
      </c>
      <c r="C30" s="1" t="s">
        <v>212</v>
      </c>
      <c r="D30" s="1" t="s">
        <v>183</v>
      </c>
      <c r="E30" s="1" t="s">
        <v>184</v>
      </c>
      <c r="F30" s="4">
        <v>45202.378472222219</v>
      </c>
      <c r="G30" s="4">
        <v>45202.378472222219</v>
      </c>
      <c r="H30" s="1" t="s">
        <v>21</v>
      </c>
      <c r="I30" s="1" t="s">
        <v>22</v>
      </c>
      <c r="J30" s="1" t="s">
        <v>210</v>
      </c>
      <c r="L30" s="2">
        <v>3896.01</v>
      </c>
      <c r="M30" s="1" t="s">
        <v>0</v>
      </c>
    </row>
    <row r="31" spans="1:13" x14ac:dyDescent="0.2">
      <c r="A31" s="6" t="str">
        <f>VLOOKUP(J31,[1]Clientes!$C:$H,6,0)</f>
        <v>CBA</v>
      </c>
      <c r="B31" s="7">
        <f t="shared" si="0"/>
        <v>45202</v>
      </c>
      <c r="C31" s="1" t="s">
        <v>213</v>
      </c>
      <c r="D31" s="1" t="s">
        <v>183</v>
      </c>
      <c r="E31" s="1" t="s">
        <v>184</v>
      </c>
      <c r="F31" s="4">
        <v>45202.381944444445</v>
      </c>
      <c r="G31" s="4">
        <v>45202.381944444445</v>
      </c>
      <c r="H31" s="1" t="s">
        <v>21</v>
      </c>
      <c r="I31" s="1" t="s">
        <v>22</v>
      </c>
      <c r="J31" s="1" t="s">
        <v>210</v>
      </c>
      <c r="L31" s="2">
        <v>3896.08</v>
      </c>
      <c r="M31" s="1" t="s">
        <v>0</v>
      </c>
    </row>
    <row r="32" spans="1:13" x14ac:dyDescent="0.2">
      <c r="A32" s="6" t="str">
        <f>VLOOKUP(J32,[1]Clientes!$C:$H,6,0)</f>
        <v>CBA</v>
      </c>
      <c r="B32" s="7">
        <f t="shared" si="0"/>
        <v>45202</v>
      </c>
      <c r="C32" s="1" t="s">
        <v>214</v>
      </c>
      <c r="D32" s="1" t="s">
        <v>183</v>
      </c>
      <c r="E32" s="1" t="s">
        <v>184</v>
      </c>
      <c r="F32" s="4">
        <v>45202.383333333331</v>
      </c>
      <c r="G32" s="4">
        <v>45202.383333333331</v>
      </c>
      <c r="H32" s="1" t="s">
        <v>21</v>
      </c>
      <c r="I32" s="1" t="s">
        <v>22</v>
      </c>
      <c r="J32" s="1" t="s">
        <v>210</v>
      </c>
      <c r="L32" s="2">
        <v>3869.28</v>
      </c>
      <c r="M32" s="1" t="s">
        <v>0</v>
      </c>
    </row>
    <row r="33" spans="1:13" x14ac:dyDescent="0.2">
      <c r="A33" s="6" t="str">
        <f>VLOOKUP(J33,[1]Clientes!$C:$H,6,0)</f>
        <v>CBA</v>
      </c>
      <c r="B33" s="7">
        <f t="shared" si="0"/>
        <v>45202</v>
      </c>
      <c r="C33" s="1" t="s">
        <v>215</v>
      </c>
      <c r="D33" s="1" t="s">
        <v>183</v>
      </c>
      <c r="E33" s="1" t="s">
        <v>184</v>
      </c>
      <c r="F33" s="4">
        <v>45202.420138888891</v>
      </c>
      <c r="G33" s="4">
        <v>45202.420138888891</v>
      </c>
      <c r="H33" s="1" t="s">
        <v>21</v>
      </c>
      <c r="I33" s="1" t="s">
        <v>22</v>
      </c>
      <c r="J33" s="1" t="s">
        <v>69</v>
      </c>
      <c r="L33" s="2">
        <v>1434.88</v>
      </c>
      <c r="M33" s="1" t="s">
        <v>0</v>
      </c>
    </row>
    <row r="34" spans="1:13" x14ac:dyDescent="0.2">
      <c r="A34" s="6" t="str">
        <f>VLOOKUP(J34,[1]Clientes!$C:$H,6,0)</f>
        <v>CBA</v>
      </c>
      <c r="B34" s="7">
        <f t="shared" si="0"/>
        <v>45202</v>
      </c>
      <c r="C34" s="1" t="s">
        <v>216</v>
      </c>
      <c r="D34" s="1" t="s">
        <v>183</v>
      </c>
      <c r="E34" s="1" t="s">
        <v>184</v>
      </c>
      <c r="F34" s="4">
        <v>45202.454861111109</v>
      </c>
      <c r="G34" s="4">
        <v>45202.454861111109</v>
      </c>
      <c r="H34" s="1" t="s">
        <v>21</v>
      </c>
      <c r="I34" s="1" t="s">
        <v>22</v>
      </c>
      <c r="J34" s="1" t="s">
        <v>69</v>
      </c>
      <c r="L34" s="2">
        <v>1434.88</v>
      </c>
      <c r="M34" s="1" t="s">
        <v>0</v>
      </c>
    </row>
    <row r="35" spans="1:13" x14ac:dyDescent="0.2">
      <c r="A35" s="6" t="s">
        <v>1</v>
      </c>
      <c r="B35" s="7">
        <f t="shared" si="0"/>
        <v>45202</v>
      </c>
      <c r="C35" s="1" t="s">
        <v>30</v>
      </c>
      <c r="D35" s="1" t="s">
        <v>19</v>
      </c>
      <c r="E35" s="1" t="s">
        <v>20</v>
      </c>
      <c r="F35" s="4">
        <v>45202.67291666667</v>
      </c>
      <c r="G35" s="4">
        <v>45202.67291666667</v>
      </c>
      <c r="H35" s="1" t="s">
        <v>21</v>
      </c>
      <c r="I35" s="1" t="s">
        <v>22</v>
      </c>
      <c r="J35" s="1" t="s">
        <v>25</v>
      </c>
      <c r="L35" s="2">
        <v>2295.83</v>
      </c>
      <c r="M35" s="1" t="s">
        <v>1</v>
      </c>
    </row>
    <row r="36" spans="1:13" x14ac:dyDescent="0.2">
      <c r="A36" s="6" t="s">
        <v>1</v>
      </c>
      <c r="B36" s="7">
        <f t="shared" si="0"/>
        <v>45202</v>
      </c>
      <c r="C36" s="1" t="s">
        <v>31</v>
      </c>
      <c r="D36" s="1" t="s">
        <v>19</v>
      </c>
      <c r="E36" s="1" t="s">
        <v>20</v>
      </c>
      <c r="F36" s="4">
        <v>45202.695138888892</v>
      </c>
      <c r="G36" s="4">
        <v>45202.695138888892</v>
      </c>
      <c r="H36" s="1" t="s">
        <v>21</v>
      </c>
      <c r="I36" s="1" t="s">
        <v>22</v>
      </c>
      <c r="J36" s="1" t="s">
        <v>25</v>
      </c>
      <c r="L36" s="2">
        <v>1339.77</v>
      </c>
      <c r="M36" s="1" t="s">
        <v>1</v>
      </c>
    </row>
    <row r="37" spans="1:13" x14ac:dyDescent="0.2">
      <c r="A37" s="6" t="s">
        <v>1</v>
      </c>
      <c r="B37" s="7">
        <f t="shared" si="0"/>
        <v>45202</v>
      </c>
      <c r="C37" s="1" t="s">
        <v>32</v>
      </c>
      <c r="D37" s="1" t="s">
        <v>19</v>
      </c>
      <c r="E37" s="1" t="s">
        <v>20</v>
      </c>
      <c r="F37" s="4">
        <v>45202.7</v>
      </c>
      <c r="G37" s="4">
        <v>45202.7</v>
      </c>
      <c r="H37" s="1" t="s">
        <v>21</v>
      </c>
      <c r="I37" s="1" t="s">
        <v>22</v>
      </c>
      <c r="J37" s="1" t="s">
        <v>25</v>
      </c>
      <c r="L37" s="2">
        <v>1198.05</v>
      </c>
      <c r="M37" s="1" t="s">
        <v>1</v>
      </c>
    </row>
    <row r="38" spans="1:13" x14ac:dyDescent="0.2">
      <c r="A38" s="6" t="s">
        <v>1</v>
      </c>
      <c r="B38" s="7">
        <f t="shared" si="0"/>
        <v>45202</v>
      </c>
      <c r="C38" s="1" t="s">
        <v>33</v>
      </c>
      <c r="D38" s="1" t="s">
        <v>19</v>
      </c>
      <c r="E38" s="1" t="s">
        <v>20</v>
      </c>
      <c r="F38" s="4">
        <v>45202.706944444442</v>
      </c>
      <c r="G38" s="4">
        <v>45202.706944444442</v>
      </c>
      <c r="H38" s="1" t="s">
        <v>21</v>
      </c>
      <c r="I38" s="1" t="s">
        <v>22</v>
      </c>
      <c r="J38" s="1" t="s">
        <v>25</v>
      </c>
      <c r="L38" s="2">
        <v>2342.2600000000002</v>
      </c>
      <c r="M38" s="1" t="s">
        <v>1</v>
      </c>
    </row>
    <row r="39" spans="1:13" x14ac:dyDescent="0.2">
      <c r="A39" s="6" t="str">
        <f>VLOOKUP(J39,[1]Clientes!$C:$H,6,0)</f>
        <v>IMERYS</v>
      </c>
      <c r="B39" s="7">
        <f t="shared" si="0"/>
        <v>45202</v>
      </c>
      <c r="C39" s="1" t="s">
        <v>217</v>
      </c>
      <c r="D39" s="1" t="s">
        <v>183</v>
      </c>
      <c r="E39" s="1" t="s">
        <v>184</v>
      </c>
      <c r="F39" s="4">
        <v>45202.723611111112</v>
      </c>
      <c r="G39" s="4">
        <v>45202.723611111112</v>
      </c>
      <c r="H39" s="1" t="s">
        <v>21</v>
      </c>
      <c r="I39" s="1" t="s">
        <v>22</v>
      </c>
      <c r="J39" s="1" t="s">
        <v>188</v>
      </c>
      <c r="L39" s="2">
        <v>1150.0999999999999</v>
      </c>
      <c r="M39" s="1" t="s">
        <v>6</v>
      </c>
    </row>
    <row r="40" spans="1:13" x14ac:dyDescent="0.2">
      <c r="A40" s="6" t="str">
        <f>VLOOKUP(J40,[1]Clientes!$C:$H,6,0)</f>
        <v>IMERYS</v>
      </c>
      <c r="B40" s="7">
        <f t="shared" si="0"/>
        <v>45202</v>
      </c>
      <c r="C40" s="1" t="s">
        <v>218</v>
      </c>
      <c r="D40" s="1" t="s">
        <v>183</v>
      </c>
      <c r="E40" s="1" t="s">
        <v>184</v>
      </c>
      <c r="F40" s="4">
        <v>45202.754861111112</v>
      </c>
      <c r="G40" s="4">
        <v>45202.754861111112</v>
      </c>
      <c r="H40" s="1" t="s">
        <v>21</v>
      </c>
      <c r="I40" s="1" t="s">
        <v>22</v>
      </c>
      <c r="J40" s="1" t="s">
        <v>188</v>
      </c>
      <c r="L40" s="2">
        <v>675.82</v>
      </c>
      <c r="M40" s="1" t="s">
        <v>6</v>
      </c>
    </row>
    <row r="41" spans="1:13" x14ac:dyDescent="0.2">
      <c r="A41" s="6" t="str">
        <f>VLOOKUP(J41,[1]Clientes!$C:$H,6,0)</f>
        <v>CBA</v>
      </c>
      <c r="B41" s="7">
        <f t="shared" si="0"/>
        <v>45202</v>
      </c>
      <c r="C41" s="1" t="s">
        <v>219</v>
      </c>
      <c r="D41" s="1" t="s">
        <v>183</v>
      </c>
      <c r="E41" s="1" t="s">
        <v>184</v>
      </c>
      <c r="F41" s="4">
        <v>45202.755555555559</v>
      </c>
      <c r="G41" s="4">
        <v>45202.755555555559</v>
      </c>
      <c r="H41" s="1" t="s">
        <v>21</v>
      </c>
      <c r="I41" s="1" t="s">
        <v>22</v>
      </c>
      <c r="J41" s="1" t="s">
        <v>69</v>
      </c>
      <c r="L41" s="2">
        <v>1477.47</v>
      </c>
      <c r="M41" s="1" t="s">
        <v>0</v>
      </c>
    </row>
    <row r="42" spans="1:13" x14ac:dyDescent="0.2">
      <c r="A42" s="6" t="s">
        <v>1</v>
      </c>
      <c r="B42" s="7">
        <f t="shared" si="0"/>
        <v>45202</v>
      </c>
      <c r="C42" s="1" t="s">
        <v>34</v>
      </c>
      <c r="D42" s="1" t="s">
        <v>19</v>
      </c>
      <c r="E42" s="1" t="s">
        <v>20</v>
      </c>
      <c r="F42" s="4">
        <v>45202.770833333336</v>
      </c>
      <c r="G42" s="4">
        <v>45202.770833333336</v>
      </c>
      <c r="H42" s="1" t="s">
        <v>21</v>
      </c>
      <c r="I42" s="1" t="s">
        <v>22</v>
      </c>
      <c r="J42" s="1" t="s">
        <v>25</v>
      </c>
      <c r="L42" s="2">
        <v>2268.9699999999998</v>
      </c>
      <c r="M42" s="1" t="s">
        <v>1</v>
      </c>
    </row>
    <row r="43" spans="1:13" x14ac:dyDescent="0.2">
      <c r="A43" s="6" t="str">
        <f>VLOOKUP(J43,[1]Clientes!$C:$H,6,0)</f>
        <v>LANXESS</v>
      </c>
      <c r="B43" s="7">
        <f t="shared" si="0"/>
        <v>45202</v>
      </c>
      <c r="C43" s="1" t="s">
        <v>220</v>
      </c>
      <c r="D43" s="1" t="s">
        <v>183</v>
      </c>
      <c r="E43" s="1" t="s">
        <v>184</v>
      </c>
      <c r="F43" s="4">
        <v>45202.783333333333</v>
      </c>
      <c r="G43" s="4">
        <v>45202.783333333333</v>
      </c>
      <c r="H43" s="1" t="s">
        <v>21</v>
      </c>
      <c r="I43" s="1" t="s">
        <v>22</v>
      </c>
      <c r="J43" s="1" t="s">
        <v>221</v>
      </c>
      <c r="L43" s="2">
        <v>3776.68</v>
      </c>
      <c r="M43" s="1" t="s">
        <v>648</v>
      </c>
    </row>
    <row r="44" spans="1:13" x14ac:dyDescent="0.2">
      <c r="A44" s="6" t="str">
        <f>VLOOKUP(J44,[1]Clientes!$C:$H,6,0)</f>
        <v>CBA</v>
      </c>
      <c r="B44" s="7">
        <f t="shared" si="0"/>
        <v>45202</v>
      </c>
      <c r="C44" s="1" t="s">
        <v>222</v>
      </c>
      <c r="D44" s="1" t="s">
        <v>183</v>
      </c>
      <c r="E44" s="1" t="s">
        <v>184</v>
      </c>
      <c r="F44" s="4">
        <v>45202.786111111112</v>
      </c>
      <c r="G44" s="4">
        <v>45202.786111111112</v>
      </c>
      <c r="H44" s="1" t="s">
        <v>21</v>
      </c>
      <c r="I44" s="1" t="s">
        <v>22</v>
      </c>
      <c r="J44" s="1" t="s">
        <v>69</v>
      </c>
      <c r="L44" s="2">
        <v>1486.97</v>
      </c>
      <c r="M44" s="1" t="s">
        <v>0</v>
      </c>
    </row>
    <row r="45" spans="1:13" x14ac:dyDescent="0.2">
      <c r="A45" s="6" t="str">
        <f>VLOOKUP(J45,[1]Clientes!$C:$H,6,0)</f>
        <v>CBA</v>
      </c>
      <c r="B45" s="7">
        <f t="shared" si="0"/>
        <v>45202</v>
      </c>
      <c r="C45" s="1" t="s">
        <v>223</v>
      </c>
      <c r="D45" s="1" t="s">
        <v>183</v>
      </c>
      <c r="E45" s="1" t="s">
        <v>184</v>
      </c>
      <c r="F45" s="4">
        <v>45202.799305555556</v>
      </c>
      <c r="G45" s="4">
        <v>45202.799305555556</v>
      </c>
      <c r="H45" s="1" t="s">
        <v>21</v>
      </c>
      <c r="I45" s="1" t="s">
        <v>22</v>
      </c>
      <c r="J45" s="1" t="s">
        <v>69</v>
      </c>
      <c r="L45" s="2">
        <v>3357.7</v>
      </c>
      <c r="M45" s="1" t="s">
        <v>0</v>
      </c>
    </row>
    <row r="46" spans="1:13" x14ac:dyDescent="0.2">
      <c r="A46" s="6" t="str">
        <f>VLOOKUP(J46,[1]Clientes!$C:$H,6,0)</f>
        <v>CBA</v>
      </c>
      <c r="B46" s="7">
        <f t="shared" si="0"/>
        <v>45202</v>
      </c>
      <c r="C46" s="1" t="s">
        <v>224</v>
      </c>
      <c r="D46" s="1" t="s">
        <v>183</v>
      </c>
      <c r="E46" s="1" t="s">
        <v>184</v>
      </c>
      <c r="F46" s="4">
        <v>45202.806944444441</v>
      </c>
      <c r="G46" s="4">
        <v>45202.806944444441</v>
      </c>
      <c r="H46" s="1" t="s">
        <v>21</v>
      </c>
      <c r="I46" s="1" t="s">
        <v>22</v>
      </c>
      <c r="J46" s="1" t="s">
        <v>69</v>
      </c>
      <c r="L46" s="2">
        <v>1491.63</v>
      </c>
      <c r="M46" s="1" t="s">
        <v>0</v>
      </c>
    </row>
    <row r="47" spans="1:13" x14ac:dyDescent="0.2">
      <c r="A47" s="6" t="str">
        <f>VLOOKUP(J47,[1]Clientes!$C:$H,6,0)</f>
        <v>CBA</v>
      </c>
      <c r="B47" s="7">
        <f t="shared" si="0"/>
        <v>45202</v>
      </c>
      <c r="C47" s="1" t="s">
        <v>225</v>
      </c>
      <c r="D47" s="1" t="s">
        <v>183</v>
      </c>
      <c r="E47" s="1" t="s">
        <v>184</v>
      </c>
      <c r="F47" s="4">
        <v>45202.823611111111</v>
      </c>
      <c r="G47" s="4">
        <v>45202.823611111111</v>
      </c>
      <c r="H47" s="1" t="s">
        <v>21</v>
      </c>
      <c r="I47" s="1" t="s">
        <v>22</v>
      </c>
      <c r="J47" s="1" t="s">
        <v>69</v>
      </c>
      <c r="L47" s="2">
        <v>1484.66</v>
      </c>
      <c r="M47" s="1" t="s">
        <v>0</v>
      </c>
    </row>
    <row r="48" spans="1:13" x14ac:dyDescent="0.2">
      <c r="A48" s="6" t="s">
        <v>1</v>
      </c>
      <c r="B48" s="7">
        <f t="shared" si="0"/>
        <v>45202</v>
      </c>
      <c r="C48" s="1" t="s">
        <v>35</v>
      </c>
      <c r="D48" s="1" t="s">
        <v>19</v>
      </c>
      <c r="E48" s="1" t="s">
        <v>20</v>
      </c>
      <c r="F48" s="4">
        <v>45202.845138888886</v>
      </c>
      <c r="G48" s="4">
        <v>45202.845138888886</v>
      </c>
      <c r="H48" s="1" t="s">
        <v>21</v>
      </c>
      <c r="I48" s="1" t="s">
        <v>22</v>
      </c>
      <c r="J48" s="1" t="s">
        <v>25</v>
      </c>
      <c r="L48" s="2">
        <v>284.77</v>
      </c>
      <c r="M48" s="1" t="s">
        <v>1</v>
      </c>
    </row>
    <row r="49" spans="1:13" x14ac:dyDescent="0.2">
      <c r="A49" s="6" t="s">
        <v>1</v>
      </c>
      <c r="B49" s="7">
        <f t="shared" si="0"/>
        <v>45202</v>
      </c>
      <c r="C49" s="1" t="s">
        <v>36</v>
      </c>
      <c r="D49" s="1" t="s">
        <v>19</v>
      </c>
      <c r="E49" s="1" t="s">
        <v>20</v>
      </c>
      <c r="F49" s="4">
        <v>45202.84652777778</v>
      </c>
      <c r="G49" s="4">
        <v>45202.84652777778</v>
      </c>
      <c r="H49" s="1" t="s">
        <v>21</v>
      </c>
      <c r="I49" s="1" t="s">
        <v>22</v>
      </c>
      <c r="J49" s="1" t="s">
        <v>25</v>
      </c>
      <c r="L49" s="2">
        <v>686.7</v>
      </c>
      <c r="M49" s="1" t="s">
        <v>1</v>
      </c>
    </row>
    <row r="50" spans="1:13" x14ac:dyDescent="0.2">
      <c r="A50" s="6" t="str">
        <f>VLOOKUP(J50,[1]Clientes!$C:$H,6,0)</f>
        <v>CBA</v>
      </c>
      <c r="B50" s="7">
        <f t="shared" si="0"/>
        <v>45202</v>
      </c>
      <c r="C50" s="1" t="s">
        <v>226</v>
      </c>
      <c r="D50" s="1" t="s">
        <v>183</v>
      </c>
      <c r="E50" s="1" t="s">
        <v>184</v>
      </c>
      <c r="F50" s="4">
        <v>45202.84652777778</v>
      </c>
      <c r="G50" s="4">
        <v>45202.84652777778</v>
      </c>
      <c r="H50" s="1" t="s">
        <v>21</v>
      </c>
      <c r="I50" s="1" t="s">
        <v>22</v>
      </c>
      <c r="J50" s="1" t="s">
        <v>69</v>
      </c>
      <c r="L50" s="2">
        <v>1478.57</v>
      </c>
      <c r="M50" s="1" t="s">
        <v>0</v>
      </c>
    </row>
    <row r="51" spans="1:13" x14ac:dyDescent="0.2">
      <c r="A51" s="6" t="s">
        <v>1</v>
      </c>
      <c r="B51" s="7">
        <f t="shared" si="0"/>
        <v>45202</v>
      </c>
      <c r="C51" s="1" t="s">
        <v>37</v>
      </c>
      <c r="D51" s="1" t="s">
        <v>19</v>
      </c>
      <c r="E51" s="1" t="s">
        <v>20</v>
      </c>
      <c r="F51" s="4">
        <v>45202.848611111112</v>
      </c>
      <c r="G51" s="4">
        <v>45202.848611111112</v>
      </c>
      <c r="H51" s="1" t="s">
        <v>21</v>
      </c>
      <c r="I51" s="1" t="s">
        <v>22</v>
      </c>
      <c r="J51" s="1" t="s">
        <v>25</v>
      </c>
      <c r="L51" s="2">
        <v>702.86</v>
      </c>
      <c r="M51" s="1" t="s">
        <v>1</v>
      </c>
    </row>
    <row r="52" spans="1:13" x14ac:dyDescent="0.2">
      <c r="A52" s="6" t="s">
        <v>1</v>
      </c>
      <c r="B52" s="7">
        <f t="shared" ref="B52:B78" si="1">QUOTIENT(F52,1)</f>
        <v>45202</v>
      </c>
      <c r="C52" s="1" t="s">
        <v>38</v>
      </c>
      <c r="D52" s="1" t="s">
        <v>19</v>
      </c>
      <c r="E52" s="1" t="s">
        <v>20</v>
      </c>
      <c r="F52" s="4">
        <v>45202.85</v>
      </c>
      <c r="G52" s="4">
        <v>45202.85</v>
      </c>
      <c r="H52" s="1" t="s">
        <v>21</v>
      </c>
      <c r="I52" s="1" t="s">
        <v>22</v>
      </c>
      <c r="J52" s="1" t="s">
        <v>25</v>
      </c>
      <c r="L52" s="2">
        <v>779.83</v>
      </c>
      <c r="M52" s="1" t="s">
        <v>1</v>
      </c>
    </row>
    <row r="53" spans="1:13" x14ac:dyDescent="0.2">
      <c r="A53" s="6" t="s">
        <v>1</v>
      </c>
      <c r="B53" s="7">
        <f t="shared" si="1"/>
        <v>45202</v>
      </c>
      <c r="C53" s="1" t="s">
        <v>39</v>
      </c>
      <c r="D53" s="1" t="s">
        <v>19</v>
      </c>
      <c r="E53" s="1" t="s">
        <v>20</v>
      </c>
      <c r="F53" s="4">
        <v>45202.850694444445</v>
      </c>
      <c r="G53" s="4">
        <v>45202.850694444445</v>
      </c>
      <c r="H53" s="1" t="s">
        <v>21</v>
      </c>
      <c r="I53" s="1" t="s">
        <v>22</v>
      </c>
      <c r="J53" s="1" t="s">
        <v>25</v>
      </c>
      <c r="L53" s="2">
        <v>633.61</v>
      </c>
      <c r="M53" s="1" t="s">
        <v>1</v>
      </c>
    </row>
    <row r="54" spans="1:13" x14ac:dyDescent="0.2">
      <c r="A54" s="6" t="s">
        <v>1</v>
      </c>
      <c r="B54" s="7">
        <f t="shared" si="1"/>
        <v>45202</v>
      </c>
      <c r="C54" s="1" t="s">
        <v>227</v>
      </c>
      <c r="D54" s="1" t="s">
        <v>183</v>
      </c>
      <c r="E54" s="1" t="s">
        <v>184</v>
      </c>
      <c r="F54" s="4">
        <v>45202.852083333331</v>
      </c>
      <c r="G54" s="4">
        <v>45202.852083333331</v>
      </c>
      <c r="H54" s="1" t="s">
        <v>21</v>
      </c>
      <c r="I54" s="1" t="s">
        <v>22</v>
      </c>
      <c r="J54" s="1" t="s">
        <v>25</v>
      </c>
      <c r="L54" s="2">
        <v>381.36</v>
      </c>
      <c r="M54" s="1" t="s">
        <v>1</v>
      </c>
    </row>
    <row r="55" spans="1:13" x14ac:dyDescent="0.2">
      <c r="A55" s="6" t="s">
        <v>1</v>
      </c>
      <c r="B55" s="7">
        <f t="shared" si="1"/>
        <v>45202</v>
      </c>
      <c r="C55" s="1" t="s">
        <v>40</v>
      </c>
      <c r="D55" s="1" t="s">
        <v>19</v>
      </c>
      <c r="E55" s="1" t="s">
        <v>20</v>
      </c>
      <c r="F55" s="4">
        <v>45202.852777777778</v>
      </c>
      <c r="G55" s="4">
        <v>45202.852777777778</v>
      </c>
      <c r="H55" s="1" t="s">
        <v>21</v>
      </c>
      <c r="I55" s="1" t="s">
        <v>22</v>
      </c>
      <c r="J55" s="1" t="s">
        <v>25</v>
      </c>
      <c r="L55" s="2">
        <v>381.36</v>
      </c>
      <c r="M55" s="1" t="s">
        <v>1</v>
      </c>
    </row>
    <row r="56" spans="1:13" x14ac:dyDescent="0.2">
      <c r="A56" s="6" t="s">
        <v>1</v>
      </c>
      <c r="B56" s="7">
        <f t="shared" si="1"/>
        <v>45202</v>
      </c>
      <c r="C56" s="1" t="s">
        <v>41</v>
      </c>
      <c r="D56" s="1" t="s">
        <v>19</v>
      </c>
      <c r="E56" s="1" t="s">
        <v>20</v>
      </c>
      <c r="F56" s="4">
        <v>45202.853472222225</v>
      </c>
      <c r="G56" s="4">
        <v>45202.853472222225</v>
      </c>
      <c r="H56" s="1" t="s">
        <v>21</v>
      </c>
      <c r="I56" s="1" t="s">
        <v>22</v>
      </c>
      <c r="J56" s="1" t="s">
        <v>25</v>
      </c>
      <c r="L56" s="2">
        <v>53.86</v>
      </c>
      <c r="M56" s="1" t="s">
        <v>1</v>
      </c>
    </row>
    <row r="57" spans="1:13" x14ac:dyDescent="0.2">
      <c r="A57" s="6" t="s">
        <v>1</v>
      </c>
      <c r="B57" s="7">
        <f t="shared" si="1"/>
        <v>45202</v>
      </c>
      <c r="C57" s="1" t="s">
        <v>228</v>
      </c>
      <c r="D57" s="1" t="s">
        <v>183</v>
      </c>
      <c r="E57" s="1" t="s">
        <v>184</v>
      </c>
      <c r="F57" s="4">
        <v>45202.854861111111</v>
      </c>
      <c r="G57" s="4">
        <v>45202.854861111111</v>
      </c>
      <c r="H57" s="1" t="s">
        <v>21</v>
      </c>
      <c r="I57" s="1" t="s">
        <v>22</v>
      </c>
      <c r="J57" s="1" t="s">
        <v>25</v>
      </c>
      <c r="L57" s="2">
        <v>93.18</v>
      </c>
      <c r="M57" s="1" t="s">
        <v>1</v>
      </c>
    </row>
    <row r="58" spans="1:13" x14ac:dyDescent="0.2">
      <c r="A58" s="6" t="s">
        <v>1</v>
      </c>
      <c r="B58" s="7">
        <f t="shared" si="1"/>
        <v>45202</v>
      </c>
      <c r="C58" s="1" t="s">
        <v>42</v>
      </c>
      <c r="D58" s="1" t="s">
        <v>19</v>
      </c>
      <c r="E58" s="1" t="s">
        <v>20</v>
      </c>
      <c r="F58" s="4">
        <v>45202.855555555558</v>
      </c>
      <c r="G58" s="4">
        <v>45202.855555555558</v>
      </c>
      <c r="H58" s="1" t="s">
        <v>21</v>
      </c>
      <c r="I58" s="1" t="s">
        <v>22</v>
      </c>
      <c r="J58" s="1" t="s">
        <v>25</v>
      </c>
      <c r="L58" s="2">
        <v>93.18</v>
      </c>
      <c r="M58" s="1" t="s">
        <v>1</v>
      </c>
    </row>
    <row r="59" spans="1:13" x14ac:dyDescent="0.2">
      <c r="A59" s="6" t="s">
        <v>1</v>
      </c>
      <c r="B59" s="7">
        <f t="shared" si="1"/>
        <v>45202</v>
      </c>
      <c r="C59" s="1" t="s">
        <v>43</v>
      </c>
      <c r="D59" s="1" t="s">
        <v>19</v>
      </c>
      <c r="E59" s="1" t="s">
        <v>20</v>
      </c>
      <c r="F59" s="4">
        <v>45202.856249999997</v>
      </c>
      <c r="G59" s="4">
        <v>45202.856249999997</v>
      </c>
      <c r="H59" s="1" t="s">
        <v>21</v>
      </c>
      <c r="I59" s="1" t="s">
        <v>22</v>
      </c>
      <c r="J59" s="1" t="s">
        <v>25</v>
      </c>
      <c r="L59" s="2">
        <v>808.63</v>
      </c>
      <c r="M59" s="1" t="s">
        <v>1</v>
      </c>
    </row>
    <row r="60" spans="1:13" x14ac:dyDescent="0.2">
      <c r="A60" s="6" t="s">
        <v>1</v>
      </c>
      <c r="B60" s="7">
        <f t="shared" si="1"/>
        <v>45202</v>
      </c>
      <c r="C60" s="1" t="s">
        <v>229</v>
      </c>
      <c r="D60" s="1" t="s">
        <v>183</v>
      </c>
      <c r="E60" s="1" t="s">
        <v>184</v>
      </c>
      <c r="F60" s="4">
        <v>45202.857638888891</v>
      </c>
      <c r="G60" s="4">
        <v>45202.857638888891</v>
      </c>
      <c r="H60" s="1" t="s">
        <v>21</v>
      </c>
      <c r="I60" s="1" t="s">
        <v>22</v>
      </c>
      <c r="J60" s="1" t="s">
        <v>25</v>
      </c>
      <c r="L60" s="2">
        <v>808.63</v>
      </c>
      <c r="M60" s="1" t="s">
        <v>1</v>
      </c>
    </row>
    <row r="61" spans="1:13" x14ac:dyDescent="0.2">
      <c r="A61" s="6" t="s">
        <v>1</v>
      </c>
      <c r="B61" s="7">
        <f t="shared" si="1"/>
        <v>45202</v>
      </c>
      <c r="C61" s="1" t="s">
        <v>44</v>
      </c>
      <c r="D61" s="1" t="s">
        <v>19</v>
      </c>
      <c r="E61" s="1" t="s">
        <v>20</v>
      </c>
      <c r="F61" s="4">
        <v>45202.85833333333</v>
      </c>
      <c r="G61" s="4">
        <v>45202.85833333333</v>
      </c>
      <c r="H61" s="1" t="s">
        <v>21</v>
      </c>
      <c r="I61" s="1" t="s">
        <v>22</v>
      </c>
      <c r="J61" s="1" t="s">
        <v>25</v>
      </c>
      <c r="L61" s="2">
        <v>808.63</v>
      </c>
      <c r="M61" s="1" t="s">
        <v>1</v>
      </c>
    </row>
    <row r="62" spans="1:13" x14ac:dyDescent="0.2">
      <c r="A62" s="6" t="s">
        <v>1</v>
      </c>
      <c r="B62" s="7">
        <f t="shared" si="1"/>
        <v>45202</v>
      </c>
      <c r="C62" s="1" t="s">
        <v>45</v>
      </c>
      <c r="D62" s="1" t="s">
        <v>19</v>
      </c>
      <c r="E62" s="1" t="s">
        <v>20</v>
      </c>
      <c r="F62" s="4">
        <v>45202.859722222223</v>
      </c>
      <c r="G62" s="4">
        <v>45202.859722222223</v>
      </c>
      <c r="H62" s="1" t="s">
        <v>21</v>
      </c>
      <c r="I62" s="1" t="s">
        <v>22</v>
      </c>
      <c r="J62" s="1" t="s">
        <v>25</v>
      </c>
      <c r="L62" s="2">
        <v>1188.0899999999999</v>
      </c>
      <c r="M62" s="1" t="s">
        <v>1</v>
      </c>
    </row>
    <row r="63" spans="1:13" x14ac:dyDescent="0.2">
      <c r="A63" s="6" t="s">
        <v>1</v>
      </c>
      <c r="B63" s="7">
        <f t="shared" si="1"/>
        <v>45202</v>
      </c>
      <c r="C63" s="1" t="s">
        <v>46</v>
      </c>
      <c r="D63" s="1" t="s">
        <v>19</v>
      </c>
      <c r="E63" s="1" t="s">
        <v>20</v>
      </c>
      <c r="F63" s="4">
        <v>45202.861111111109</v>
      </c>
      <c r="G63" s="4">
        <v>45202.861111111109</v>
      </c>
      <c r="H63" s="1" t="s">
        <v>21</v>
      </c>
      <c r="I63" s="1" t="s">
        <v>22</v>
      </c>
      <c r="J63" s="1" t="s">
        <v>25</v>
      </c>
      <c r="L63" s="2">
        <v>1171.67</v>
      </c>
      <c r="M63" s="1" t="s">
        <v>1</v>
      </c>
    </row>
    <row r="64" spans="1:13" x14ac:dyDescent="0.2">
      <c r="A64" s="6" t="s">
        <v>1</v>
      </c>
      <c r="B64" s="7">
        <f t="shared" si="1"/>
        <v>45202</v>
      </c>
      <c r="C64" s="1" t="s">
        <v>230</v>
      </c>
      <c r="D64" s="1" t="s">
        <v>183</v>
      </c>
      <c r="E64" s="1" t="s">
        <v>184</v>
      </c>
      <c r="F64" s="4">
        <v>45202.861805555556</v>
      </c>
      <c r="G64" s="4">
        <v>45202.861805555556</v>
      </c>
      <c r="H64" s="1" t="s">
        <v>21</v>
      </c>
      <c r="I64" s="1" t="s">
        <v>22</v>
      </c>
      <c r="J64" s="1" t="s">
        <v>25</v>
      </c>
      <c r="L64" s="2">
        <v>1189.82</v>
      </c>
      <c r="M64" s="1" t="s">
        <v>1</v>
      </c>
    </row>
    <row r="65" spans="1:13" x14ac:dyDescent="0.2">
      <c r="A65" s="6" t="s">
        <v>1</v>
      </c>
      <c r="B65" s="7">
        <f t="shared" si="1"/>
        <v>45202</v>
      </c>
      <c r="C65" s="1" t="s">
        <v>47</v>
      </c>
      <c r="D65" s="1" t="s">
        <v>19</v>
      </c>
      <c r="E65" s="1" t="s">
        <v>20</v>
      </c>
      <c r="F65" s="4">
        <v>45202.862500000003</v>
      </c>
      <c r="G65" s="4">
        <v>45202.862500000003</v>
      </c>
      <c r="H65" s="1" t="s">
        <v>21</v>
      </c>
      <c r="I65" s="1" t="s">
        <v>22</v>
      </c>
      <c r="J65" s="1" t="s">
        <v>25</v>
      </c>
      <c r="L65" s="2">
        <v>808.63</v>
      </c>
      <c r="M65" s="1" t="s">
        <v>1</v>
      </c>
    </row>
    <row r="66" spans="1:13" x14ac:dyDescent="0.2">
      <c r="A66" s="6" t="s">
        <v>1</v>
      </c>
      <c r="B66" s="7">
        <f t="shared" si="1"/>
        <v>45202</v>
      </c>
      <c r="C66" s="1" t="s">
        <v>48</v>
      </c>
      <c r="D66" s="1" t="s">
        <v>19</v>
      </c>
      <c r="E66" s="1" t="s">
        <v>20</v>
      </c>
      <c r="F66" s="4">
        <v>45202.874305555553</v>
      </c>
      <c r="G66" s="4">
        <v>45202.874305555553</v>
      </c>
      <c r="H66" s="1" t="s">
        <v>21</v>
      </c>
      <c r="I66" s="1" t="s">
        <v>22</v>
      </c>
      <c r="J66" s="1" t="s">
        <v>25</v>
      </c>
      <c r="L66" s="2">
        <v>2992.77</v>
      </c>
      <c r="M66" s="1" t="s">
        <v>1</v>
      </c>
    </row>
    <row r="67" spans="1:13" x14ac:dyDescent="0.2">
      <c r="A67" s="6" t="str">
        <f>VLOOKUP(J67,[1]Clientes!$C:$H,6,0)</f>
        <v>UNIPAR</v>
      </c>
      <c r="B67" s="7">
        <f t="shared" si="1"/>
        <v>45202</v>
      </c>
      <c r="C67" s="1" t="s">
        <v>231</v>
      </c>
      <c r="D67" s="1" t="s">
        <v>183</v>
      </c>
      <c r="E67" s="1" t="s">
        <v>184</v>
      </c>
      <c r="F67" s="4">
        <v>45202.897916666669</v>
      </c>
      <c r="G67" s="4">
        <v>45202.897916666669</v>
      </c>
      <c r="H67" s="1" t="s">
        <v>21</v>
      </c>
      <c r="I67" s="1" t="s">
        <v>22</v>
      </c>
      <c r="J67" s="1" t="s">
        <v>63</v>
      </c>
      <c r="L67" s="2">
        <v>10007.719999999999</v>
      </c>
      <c r="M67" s="1" t="s">
        <v>647</v>
      </c>
    </row>
    <row r="68" spans="1:13" x14ac:dyDescent="0.2">
      <c r="A68" s="6" t="str">
        <f>VLOOKUP(J68,[1]Clientes!$C:$H,6,0)</f>
        <v>UNIPAR</v>
      </c>
      <c r="B68" s="7">
        <f t="shared" si="1"/>
        <v>45202</v>
      </c>
      <c r="C68" s="1" t="s">
        <v>232</v>
      </c>
      <c r="D68" s="1" t="s">
        <v>183</v>
      </c>
      <c r="E68" s="1" t="s">
        <v>184</v>
      </c>
      <c r="F68" s="4">
        <v>45202.946527777778</v>
      </c>
      <c r="G68" s="4">
        <v>45202.946527777778</v>
      </c>
      <c r="H68" s="1" t="s">
        <v>21</v>
      </c>
      <c r="I68" s="1" t="s">
        <v>22</v>
      </c>
      <c r="J68" s="1" t="s">
        <v>63</v>
      </c>
      <c r="L68" s="2">
        <v>10007.719999999999</v>
      </c>
      <c r="M68" s="1" t="s">
        <v>647</v>
      </c>
    </row>
    <row r="69" spans="1:13" x14ac:dyDescent="0.2">
      <c r="A69" s="6" t="str">
        <f>VLOOKUP(J69,[1]Clientes!$C:$H,6,0)</f>
        <v>OUTROS</v>
      </c>
      <c r="B69" s="7">
        <f t="shared" si="1"/>
        <v>45203</v>
      </c>
      <c r="C69" s="1" t="s">
        <v>233</v>
      </c>
      <c r="D69" s="1" t="s">
        <v>183</v>
      </c>
      <c r="E69" s="1" t="s">
        <v>184</v>
      </c>
      <c r="F69" s="4">
        <v>45203.396527777775</v>
      </c>
      <c r="G69" s="4">
        <v>45203.396527777775</v>
      </c>
      <c r="H69" s="1" t="s">
        <v>21</v>
      </c>
      <c r="I69" s="1" t="s">
        <v>22</v>
      </c>
      <c r="J69" s="1" t="s">
        <v>234</v>
      </c>
      <c r="L69" s="2">
        <v>980</v>
      </c>
      <c r="M69" s="1" t="s">
        <v>4</v>
      </c>
    </row>
    <row r="70" spans="1:13" x14ac:dyDescent="0.2">
      <c r="A70" s="6" t="str">
        <f>VLOOKUP(J70,[1]Clientes!$C:$H,6,0)</f>
        <v>IMERYS</v>
      </c>
      <c r="B70" s="7">
        <f t="shared" si="1"/>
        <v>45203</v>
      </c>
      <c r="C70" s="1" t="s">
        <v>235</v>
      </c>
      <c r="D70" s="1" t="s">
        <v>183</v>
      </c>
      <c r="E70" s="1" t="s">
        <v>184</v>
      </c>
      <c r="F70" s="4">
        <v>45203.445833333331</v>
      </c>
      <c r="G70" s="4">
        <v>45203.445833333331</v>
      </c>
      <c r="H70" s="1" t="s">
        <v>21</v>
      </c>
      <c r="I70" s="1" t="s">
        <v>22</v>
      </c>
      <c r="J70" s="1" t="s">
        <v>188</v>
      </c>
      <c r="L70" s="2">
        <v>894.39</v>
      </c>
      <c r="M70" s="1" t="s">
        <v>6</v>
      </c>
    </row>
    <row r="71" spans="1:13" x14ac:dyDescent="0.2">
      <c r="A71" s="6" t="s">
        <v>1</v>
      </c>
      <c r="B71" s="7">
        <f t="shared" si="1"/>
        <v>45203</v>
      </c>
      <c r="C71" s="1" t="s">
        <v>49</v>
      </c>
      <c r="D71" s="1" t="s">
        <v>19</v>
      </c>
      <c r="E71" s="1" t="s">
        <v>20</v>
      </c>
      <c r="F71" s="4">
        <v>45203.47152777778</v>
      </c>
      <c r="G71" s="4">
        <v>45203.47152777778</v>
      </c>
      <c r="H71" s="1" t="s">
        <v>21</v>
      </c>
      <c r="I71" s="1" t="s">
        <v>22</v>
      </c>
      <c r="J71" s="1" t="s">
        <v>25</v>
      </c>
      <c r="L71" s="2">
        <v>3926.95</v>
      </c>
      <c r="M71" s="1" t="s">
        <v>1</v>
      </c>
    </row>
    <row r="72" spans="1:13" x14ac:dyDescent="0.2">
      <c r="A72" s="6" t="s">
        <v>1</v>
      </c>
      <c r="B72" s="7">
        <f t="shared" si="1"/>
        <v>45203</v>
      </c>
      <c r="C72" s="1" t="s">
        <v>50</v>
      </c>
      <c r="D72" s="1" t="s">
        <v>19</v>
      </c>
      <c r="E72" s="1" t="s">
        <v>20</v>
      </c>
      <c r="F72" s="4">
        <v>45203.477777777778</v>
      </c>
      <c r="G72" s="4">
        <v>45203.477777777778</v>
      </c>
      <c r="H72" s="1" t="s">
        <v>21</v>
      </c>
      <c r="I72" s="1" t="s">
        <v>22</v>
      </c>
      <c r="J72" s="1" t="s">
        <v>25</v>
      </c>
      <c r="L72" s="2">
        <v>2001.82</v>
      </c>
      <c r="M72" s="1" t="s">
        <v>1</v>
      </c>
    </row>
    <row r="73" spans="1:13" x14ac:dyDescent="0.2">
      <c r="A73" s="6" t="s">
        <v>1</v>
      </c>
      <c r="B73" s="7">
        <f t="shared" si="1"/>
        <v>45203</v>
      </c>
      <c r="C73" s="1" t="s">
        <v>51</v>
      </c>
      <c r="D73" s="1" t="s">
        <v>19</v>
      </c>
      <c r="E73" s="1" t="s">
        <v>20</v>
      </c>
      <c r="F73" s="4">
        <v>45203.495833333334</v>
      </c>
      <c r="G73" s="4">
        <v>45203.495833333334</v>
      </c>
      <c r="H73" s="1" t="s">
        <v>21</v>
      </c>
      <c r="I73" s="1" t="s">
        <v>22</v>
      </c>
      <c r="J73" s="1" t="s">
        <v>25</v>
      </c>
      <c r="L73" s="2">
        <v>951.14</v>
      </c>
      <c r="M73" s="1" t="s">
        <v>1</v>
      </c>
    </row>
    <row r="74" spans="1:13" x14ac:dyDescent="0.2">
      <c r="A74" s="6" t="str">
        <f>VLOOKUP(J74,[1]Clientes!$C:$H,6,0)</f>
        <v>CBA</v>
      </c>
      <c r="B74" s="7">
        <f t="shared" si="1"/>
        <v>45203</v>
      </c>
      <c r="C74" s="1" t="s">
        <v>236</v>
      </c>
      <c r="D74" s="1" t="s">
        <v>183</v>
      </c>
      <c r="E74" s="1" t="s">
        <v>184</v>
      </c>
      <c r="F74" s="4">
        <v>45203.501388888886</v>
      </c>
      <c r="G74" s="4">
        <v>45203.501388888886</v>
      </c>
      <c r="H74" s="1" t="s">
        <v>21</v>
      </c>
      <c r="I74" s="1" t="s">
        <v>22</v>
      </c>
      <c r="J74" s="1" t="s">
        <v>69</v>
      </c>
      <c r="L74" s="2">
        <v>1363.13</v>
      </c>
      <c r="M74" s="1" t="s">
        <v>0</v>
      </c>
    </row>
    <row r="75" spans="1:13" x14ac:dyDescent="0.2">
      <c r="A75" s="6" t="str">
        <f>VLOOKUP(J75,[1]Clientes!$C:$H,6,0)</f>
        <v>IMERYS</v>
      </c>
      <c r="B75" s="7">
        <f t="shared" si="1"/>
        <v>45203</v>
      </c>
      <c r="C75" s="1" t="s">
        <v>237</v>
      </c>
      <c r="D75" s="1" t="s">
        <v>183</v>
      </c>
      <c r="E75" s="1" t="s">
        <v>184</v>
      </c>
      <c r="F75" s="4">
        <v>45203.521527777775</v>
      </c>
      <c r="G75" s="4">
        <v>45203.521527777775</v>
      </c>
      <c r="H75" s="1" t="s">
        <v>21</v>
      </c>
      <c r="I75" s="1" t="s">
        <v>22</v>
      </c>
      <c r="J75" s="1" t="s">
        <v>188</v>
      </c>
      <c r="L75" s="2">
        <v>1185.56</v>
      </c>
      <c r="M75" s="1" t="s">
        <v>6</v>
      </c>
    </row>
    <row r="76" spans="1:13" x14ac:dyDescent="0.2">
      <c r="A76" s="6" t="str">
        <f>VLOOKUP(J76,[1]Clientes!$C:$H,6,0)</f>
        <v>LANXESS</v>
      </c>
      <c r="B76" s="7">
        <f t="shared" si="1"/>
        <v>45203</v>
      </c>
      <c r="C76" s="1" t="s">
        <v>238</v>
      </c>
      <c r="D76" s="1" t="s">
        <v>183</v>
      </c>
      <c r="E76" s="1" t="s">
        <v>184</v>
      </c>
      <c r="F76" s="4">
        <v>45203.54791666667</v>
      </c>
      <c r="G76" s="4">
        <v>45203.54791666667</v>
      </c>
      <c r="H76" s="1" t="s">
        <v>21</v>
      </c>
      <c r="I76" s="1" t="s">
        <v>22</v>
      </c>
      <c r="J76" s="1" t="s">
        <v>221</v>
      </c>
      <c r="L76" s="2">
        <v>725.22</v>
      </c>
      <c r="M76" s="1" t="s">
        <v>648</v>
      </c>
    </row>
    <row r="77" spans="1:13" x14ac:dyDescent="0.2">
      <c r="A77" s="6" t="str">
        <f>VLOOKUP(J77,[1]Clientes!$C:$H,6,0)</f>
        <v>LANXESS</v>
      </c>
      <c r="B77" s="7">
        <f t="shared" si="1"/>
        <v>45203</v>
      </c>
      <c r="C77" s="1" t="s">
        <v>239</v>
      </c>
      <c r="D77" s="1" t="s">
        <v>183</v>
      </c>
      <c r="E77" s="1" t="s">
        <v>184</v>
      </c>
      <c r="F77" s="4">
        <v>45203.563194444447</v>
      </c>
      <c r="G77" s="4">
        <v>45203.563194444447</v>
      </c>
      <c r="H77" s="1" t="s">
        <v>21</v>
      </c>
      <c r="I77" s="1" t="s">
        <v>22</v>
      </c>
      <c r="J77" s="1" t="s">
        <v>200</v>
      </c>
      <c r="L77" s="2">
        <v>5322.39</v>
      </c>
      <c r="M77" s="1" t="s">
        <v>648</v>
      </c>
    </row>
    <row r="78" spans="1:13" x14ac:dyDescent="0.2">
      <c r="A78" s="6" t="s">
        <v>1</v>
      </c>
      <c r="B78" s="7">
        <f t="shared" si="1"/>
        <v>45203</v>
      </c>
      <c r="C78" s="1" t="s">
        <v>52</v>
      </c>
      <c r="D78" s="1" t="s">
        <v>19</v>
      </c>
      <c r="E78" s="1" t="s">
        <v>20</v>
      </c>
      <c r="F78" s="4">
        <v>45203.575694444444</v>
      </c>
      <c r="G78" s="4">
        <v>45203.575694444444</v>
      </c>
      <c r="H78" s="1" t="s">
        <v>21</v>
      </c>
      <c r="I78" s="1" t="s">
        <v>22</v>
      </c>
      <c r="J78" s="1" t="s">
        <v>25</v>
      </c>
      <c r="L78" s="2">
        <v>250.5</v>
      </c>
      <c r="M78" s="1" t="s">
        <v>1</v>
      </c>
    </row>
    <row r="79" spans="1:13" x14ac:dyDescent="0.2">
      <c r="A79" s="6" t="str">
        <f>VLOOKUP(J79,[1]Clientes!$C:$H,6,0)</f>
        <v>LANXESS</v>
      </c>
      <c r="B79" s="7">
        <f t="shared" ref="B79:B142" si="2">QUOTIENT(F79,1)</f>
        <v>45203</v>
      </c>
      <c r="C79" s="1" t="s">
        <v>240</v>
      </c>
      <c r="D79" s="1" t="s">
        <v>183</v>
      </c>
      <c r="E79" s="1" t="s">
        <v>184</v>
      </c>
      <c r="F79" s="4">
        <v>45203.603472222225</v>
      </c>
      <c r="G79" s="4">
        <v>45203.603472222225</v>
      </c>
      <c r="H79" s="1" t="s">
        <v>21</v>
      </c>
      <c r="I79" s="1" t="s">
        <v>22</v>
      </c>
      <c r="J79" s="1" t="s">
        <v>200</v>
      </c>
      <c r="L79" s="2">
        <v>1854.92</v>
      </c>
      <c r="M79" s="1" t="s">
        <v>648</v>
      </c>
    </row>
    <row r="80" spans="1:13" x14ac:dyDescent="0.2">
      <c r="A80" s="6" t="str">
        <f>VLOOKUP(J80,[1]Clientes!$C:$H,6,0)</f>
        <v>UNIPAR</v>
      </c>
      <c r="B80" s="7">
        <f t="shared" si="2"/>
        <v>45203</v>
      </c>
      <c r="C80" s="1" t="s">
        <v>241</v>
      </c>
      <c r="D80" s="1" t="s">
        <v>183</v>
      </c>
      <c r="E80" s="1" t="s">
        <v>184</v>
      </c>
      <c r="F80" s="4">
        <v>45203.625</v>
      </c>
      <c r="G80" s="4">
        <v>45203.625</v>
      </c>
      <c r="H80" s="1" t="s">
        <v>21</v>
      </c>
      <c r="I80" s="1" t="s">
        <v>22</v>
      </c>
      <c r="J80" s="1" t="s">
        <v>63</v>
      </c>
      <c r="L80" s="2">
        <v>8219.0300000000007</v>
      </c>
      <c r="M80" s="1" t="s">
        <v>647</v>
      </c>
    </row>
    <row r="81" spans="1:13" x14ac:dyDescent="0.2">
      <c r="A81" s="6" t="str">
        <f>VLOOKUP(J81,[1]Clientes!$C:$H,6,0)</f>
        <v>CBA</v>
      </c>
      <c r="B81" s="7">
        <f t="shared" si="2"/>
        <v>45203</v>
      </c>
      <c r="C81" s="1" t="s">
        <v>242</v>
      </c>
      <c r="D81" s="1" t="s">
        <v>183</v>
      </c>
      <c r="E81" s="1" t="s">
        <v>184</v>
      </c>
      <c r="F81" s="4">
        <v>45203.636111111111</v>
      </c>
      <c r="G81" s="4">
        <v>45203.636111111111</v>
      </c>
      <c r="H81" s="1" t="s">
        <v>21</v>
      </c>
      <c r="I81" s="1" t="s">
        <v>22</v>
      </c>
      <c r="J81" s="1" t="s">
        <v>69</v>
      </c>
      <c r="L81" s="2">
        <v>1363.13</v>
      </c>
      <c r="M81" s="1" t="s">
        <v>0</v>
      </c>
    </row>
    <row r="82" spans="1:13" x14ac:dyDescent="0.2">
      <c r="A82" s="6" t="str">
        <f>VLOOKUP(J82,[1]Clientes!$C:$H,6,0)</f>
        <v>UNIPAR</v>
      </c>
      <c r="B82" s="7">
        <f t="shared" si="2"/>
        <v>45203</v>
      </c>
      <c r="C82" s="1" t="s">
        <v>243</v>
      </c>
      <c r="D82" s="1" t="s">
        <v>183</v>
      </c>
      <c r="E82" s="1" t="s">
        <v>184</v>
      </c>
      <c r="F82" s="4">
        <v>45203.643750000003</v>
      </c>
      <c r="G82" s="4">
        <v>45203.643750000003</v>
      </c>
      <c r="H82" s="1" t="s">
        <v>21</v>
      </c>
      <c r="I82" s="1" t="s">
        <v>22</v>
      </c>
      <c r="J82" s="1" t="s">
        <v>63</v>
      </c>
      <c r="L82" s="2">
        <v>9925.14</v>
      </c>
      <c r="M82" s="1" t="s">
        <v>647</v>
      </c>
    </row>
    <row r="83" spans="1:13" x14ac:dyDescent="0.2">
      <c r="A83" s="6" t="str">
        <f>VLOOKUP(J83,[1]Clientes!$C:$H,6,0)</f>
        <v>CBA</v>
      </c>
      <c r="B83" s="7">
        <f t="shared" si="2"/>
        <v>45203</v>
      </c>
      <c r="C83" s="1" t="s">
        <v>244</v>
      </c>
      <c r="D83" s="1" t="s">
        <v>183</v>
      </c>
      <c r="E83" s="1" t="s">
        <v>184</v>
      </c>
      <c r="F83" s="4">
        <v>45203.67083333333</v>
      </c>
      <c r="G83" s="4">
        <v>45203.67083333333</v>
      </c>
      <c r="H83" s="1" t="s">
        <v>21</v>
      </c>
      <c r="I83" s="1" t="s">
        <v>22</v>
      </c>
      <c r="J83" s="1" t="s">
        <v>69</v>
      </c>
      <c r="L83" s="2">
        <v>1363.13</v>
      </c>
      <c r="M83" s="1" t="s">
        <v>0</v>
      </c>
    </row>
    <row r="84" spans="1:13" x14ac:dyDescent="0.2">
      <c r="A84" s="6" t="str">
        <f>VLOOKUP(J84,[1]Clientes!$C:$H,6,0)</f>
        <v>UNIPAR</v>
      </c>
      <c r="B84" s="7">
        <f t="shared" si="2"/>
        <v>45203</v>
      </c>
      <c r="C84" s="1" t="s">
        <v>245</v>
      </c>
      <c r="D84" s="1" t="s">
        <v>183</v>
      </c>
      <c r="E84" s="1" t="s">
        <v>184</v>
      </c>
      <c r="F84" s="4">
        <v>45203.67291666667</v>
      </c>
      <c r="G84" s="4">
        <v>45203.67291666667</v>
      </c>
      <c r="H84" s="1" t="s">
        <v>21</v>
      </c>
      <c r="I84" s="1" t="s">
        <v>22</v>
      </c>
      <c r="J84" s="1" t="s">
        <v>63</v>
      </c>
      <c r="L84" s="2">
        <v>9925.14</v>
      </c>
      <c r="M84" s="1" t="s">
        <v>647</v>
      </c>
    </row>
    <row r="85" spans="1:13" x14ac:dyDescent="0.2">
      <c r="A85" s="6" t="str">
        <f>VLOOKUP(J85,[1]Clientes!$C:$H,6,0)</f>
        <v>CBA</v>
      </c>
      <c r="B85" s="7">
        <f t="shared" si="2"/>
        <v>45203</v>
      </c>
      <c r="C85" s="1" t="s">
        <v>246</v>
      </c>
      <c r="D85" s="1" t="s">
        <v>183</v>
      </c>
      <c r="E85" s="1" t="s">
        <v>184</v>
      </c>
      <c r="F85" s="4">
        <v>45203.704861111109</v>
      </c>
      <c r="G85" s="4">
        <v>45203.704861111109</v>
      </c>
      <c r="H85" s="1" t="s">
        <v>21</v>
      </c>
      <c r="I85" s="1" t="s">
        <v>22</v>
      </c>
      <c r="J85" s="1" t="s">
        <v>69</v>
      </c>
      <c r="L85" s="2">
        <v>1491.59</v>
      </c>
      <c r="M85" s="1" t="s">
        <v>0</v>
      </c>
    </row>
    <row r="86" spans="1:13" x14ac:dyDescent="0.2">
      <c r="A86" s="6" t="str">
        <f>VLOOKUP(J86,[1]Clientes!$C:$H,6,0)</f>
        <v>UNIPAR</v>
      </c>
      <c r="B86" s="7">
        <f t="shared" si="2"/>
        <v>45203</v>
      </c>
      <c r="C86" s="1" t="s">
        <v>247</v>
      </c>
      <c r="D86" s="1" t="s">
        <v>183</v>
      </c>
      <c r="E86" s="1" t="s">
        <v>184</v>
      </c>
      <c r="F86" s="4">
        <v>45203.731249999997</v>
      </c>
      <c r="G86" s="4">
        <v>45203.731249999997</v>
      </c>
      <c r="H86" s="1" t="s">
        <v>21</v>
      </c>
      <c r="I86" s="1" t="s">
        <v>22</v>
      </c>
      <c r="J86" s="1" t="s">
        <v>63</v>
      </c>
      <c r="L86" s="2">
        <v>3425.27</v>
      </c>
      <c r="M86" s="1" t="s">
        <v>647</v>
      </c>
    </row>
    <row r="87" spans="1:13" x14ac:dyDescent="0.2">
      <c r="A87" s="6" t="str">
        <f>VLOOKUP(J87,[1]Clientes!$C:$H,6,0)</f>
        <v>CBA</v>
      </c>
      <c r="B87" s="7">
        <f t="shared" si="2"/>
        <v>45203</v>
      </c>
      <c r="C87" s="1" t="s">
        <v>248</v>
      </c>
      <c r="D87" s="1" t="s">
        <v>183</v>
      </c>
      <c r="E87" s="1" t="s">
        <v>184</v>
      </c>
      <c r="F87" s="4">
        <v>45203.78402777778</v>
      </c>
      <c r="G87" s="4">
        <v>45203.78402777778</v>
      </c>
      <c r="H87" s="1" t="s">
        <v>21</v>
      </c>
      <c r="I87" s="1" t="s">
        <v>22</v>
      </c>
      <c r="J87" s="1" t="s">
        <v>69</v>
      </c>
      <c r="L87" s="2">
        <v>2281.4499999999998</v>
      </c>
      <c r="M87" s="1" t="s">
        <v>0</v>
      </c>
    </row>
    <row r="88" spans="1:13" x14ac:dyDescent="0.2">
      <c r="A88" s="6" t="str">
        <f>VLOOKUP(J88,[1]Clientes!$C:$H,6,0)</f>
        <v>CBA</v>
      </c>
      <c r="B88" s="7">
        <f t="shared" si="2"/>
        <v>45203</v>
      </c>
      <c r="C88" s="1" t="s">
        <v>249</v>
      </c>
      <c r="D88" s="1" t="s">
        <v>183</v>
      </c>
      <c r="E88" s="1" t="s">
        <v>184</v>
      </c>
      <c r="F88" s="4">
        <v>45203.840277777781</v>
      </c>
      <c r="G88" s="4">
        <v>45203.840277777781</v>
      </c>
      <c r="H88" s="1" t="s">
        <v>21</v>
      </c>
      <c r="I88" s="1" t="s">
        <v>22</v>
      </c>
      <c r="J88" s="1" t="s">
        <v>69</v>
      </c>
      <c r="L88" s="2">
        <v>2639.27</v>
      </c>
      <c r="M88" s="1" t="s">
        <v>0</v>
      </c>
    </row>
    <row r="89" spans="1:13" x14ac:dyDescent="0.2">
      <c r="A89" s="6" t="str">
        <f>VLOOKUP(J89,[1]Clientes!$C:$H,6,0)</f>
        <v>CBA</v>
      </c>
      <c r="B89" s="7">
        <f t="shared" si="2"/>
        <v>45203</v>
      </c>
      <c r="C89" s="1" t="s">
        <v>250</v>
      </c>
      <c r="D89" s="1" t="s">
        <v>183</v>
      </c>
      <c r="E89" s="1" t="s">
        <v>184</v>
      </c>
      <c r="F89" s="4">
        <v>45203.84375</v>
      </c>
      <c r="G89" s="4">
        <v>45203.84375</v>
      </c>
      <c r="H89" s="1" t="s">
        <v>21</v>
      </c>
      <c r="I89" s="1" t="s">
        <v>22</v>
      </c>
      <c r="J89" s="1" t="s">
        <v>69</v>
      </c>
      <c r="L89" s="2">
        <v>2639.27</v>
      </c>
      <c r="M89" s="1" t="s">
        <v>0</v>
      </c>
    </row>
    <row r="90" spans="1:13" x14ac:dyDescent="0.2">
      <c r="A90" s="6" t="str">
        <f>VLOOKUP(J90,[1]Clientes!$C:$H,6,0)</f>
        <v>CBA</v>
      </c>
      <c r="B90" s="7">
        <f t="shared" si="2"/>
        <v>45203</v>
      </c>
      <c r="C90" s="1" t="s">
        <v>251</v>
      </c>
      <c r="D90" s="1" t="s">
        <v>183</v>
      </c>
      <c r="E90" s="1" t="s">
        <v>184</v>
      </c>
      <c r="F90" s="4">
        <v>45203.857638888891</v>
      </c>
      <c r="G90" s="4">
        <v>45203.857638888891</v>
      </c>
      <c r="H90" s="1" t="s">
        <v>21</v>
      </c>
      <c r="I90" s="1" t="s">
        <v>22</v>
      </c>
      <c r="J90" s="1" t="s">
        <v>69</v>
      </c>
      <c r="L90" s="2">
        <v>2639.27</v>
      </c>
      <c r="M90" s="1" t="s">
        <v>0</v>
      </c>
    </row>
    <row r="91" spans="1:13" x14ac:dyDescent="0.2">
      <c r="A91" s="6" t="str">
        <f>VLOOKUP(J91,[1]Clientes!$C:$H,6,0)</f>
        <v>CBA</v>
      </c>
      <c r="B91" s="7">
        <f t="shared" si="2"/>
        <v>45203</v>
      </c>
      <c r="C91" s="1" t="s">
        <v>252</v>
      </c>
      <c r="D91" s="1" t="s">
        <v>183</v>
      </c>
      <c r="E91" s="1" t="s">
        <v>184</v>
      </c>
      <c r="F91" s="4">
        <v>45203.859722222223</v>
      </c>
      <c r="G91" s="4">
        <v>45203.859722222223</v>
      </c>
      <c r="H91" s="1" t="s">
        <v>21</v>
      </c>
      <c r="I91" s="1" t="s">
        <v>22</v>
      </c>
      <c r="J91" s="1" t="s">
        <v>69</v>
      </c>
      <c r="L91" s="2">
        <v>2639.27</v>
      </c>
      <c r="M91" s="1" t="s">
        <v>0</v>
      </c>
    </row>
    <row r="92" spans="1:13" x14ac:dyDescent="0.2">
      <c r="A92" s="6" t="str">
        <f>VLOOKUP(J92,[1]Clientes!$C:$H,6,0)</f>
        <v>AMBEV</v>
      </c>
      <c r="B92" s="7">
        <f t="shared" si="2"/>
        <v>45203</v>
      </c>
      <c r="C92" s="1" t="s">
        <v>253</v>
      </c>
      <c r="D92" s="1" t="s">
        <v>183</v>
      </c>
      <c r="E92" s="1" t="s">
        <v>184</v>
      </c>
      <c r="F92" s="4">
        <v>45203.862500000003</v>
      </c>
      <c r="G92" s="4">
        <v>45203.862500000003</v>
      </c>
      <c r="H92" s="1" t="s">
        <v>21</v>
      </c>
      <c r="I92" s="1" t="s">
        <v>22</v>
      </c>
      <c r="J92" s="1" t="s">
        <v>254</v>
      </c>
      <c r="L92" s="2">
        <v>4804.1099999999997</v>
      </c>
      <c r="M92" s="1" t="s">
        <v>3</v>
      </c>
    </row>
    <row r="93" spans="1:13" x14ac:dyDescent="0.2">
      <c r="A93" s="6" t="str">
        <f>VLOOKUP(J93,[1]Clientes!$C:$H,6,0)</f>
        <v>CBA</v>
      </c>
      <c r="B93" s="7">
        <f t="shared" si="2"/>
        <v>45203</v>
      </c>
      <c r="C93" s="1" t="s">
        <v>255</v>
      </c>
      <c r="D93" s="1" t="s">
        <v>183</v>
      </c>
      <c r="E93" s="1" t="s">
        <v>184</v>
      </c>
      <c r="F93" s="4">
        <v>45203.912499999999</v>
      </c>
      <c r="G93" s="4">
        <v>45203.912499999999</v>
      </c>
      <c r="H93" s="1" t="s">
        <v>21</v>
      </c>
      <c r="I93" s="1" t="s">
        <v>22</v>
      </c>
      <c r="J93" s="1" t="s">
        <v>69</v>
      </c>
      <c r="L93" s="2">
        <v>2524.84</v>
      </c>
      <c r="M93" s="1" t="s">
        <v>0</v>
      </c>
    </row>
    <row r="94" spans="1:13" x14ac:dyDescent="0.2">
      <c r="A94" s="6" t="str">
        <f>VLOOKUP(J94,[1]Clientes!$C:$H,6,0)</f>
        <v>CBA</v>
      </c>
      <c r="B94" s="7">
        <f t="shared" si="2"/>
        <v>45203</v>
      </c>
      <c r="C94" s="1" t="s">
        <v>256</v>
      </c>
      <c r="D94" s="1" t="s">
        <v>183</v>
      </c>
      <c r="E94" s="1" t="s">
        <v>184</v>
      </c>
      <c r="F94" s="4">
        <v>45203.942361111112</v>
      </c>
      <c r="G94" s="4">
        <v>45203.942361111112</v>
      </c>
      <c r="H94" s="1" t="s">
        <v>21</v>
      </c>
      <c r="I94" s="1" t="s">
        <v>22</v>
      </c>
      <c r="J94" s="1" t="s">
        <v>69</v>
      </c>
      <c r="L94" s="2">
        <v>2721.37</v>
      </c>
      <c r="M94" s="1" t="s">
        <v>0</v>
      </c>
    </row>
    <row r="95" spans="1:13" x14ac:dyDescent="0.2">
      <c r="A95" s="6" t="str">
        <f>VLOOKUP(J95,[1]Clientes!$C:$H,6,0)</f>
        <v>CBA</v>
      </c>
      <c r="B95" s="7">
        <f t="shared" si="2"/>
        <v>45203</v>
      </c>
      <c r="C95" s="1" t="s">
        <v>257</v>
      </c>
      <c r="D95" s="1" t="s">
        <v>183</v>
      </c>
      <c r="E95" s="1" t="s">
        <v>184</v>
      </c>
      <c r="F95" s="4">
        <v>45203.947916666664</v>
      </c>
      <c r="G95" s="4">
        <v>45203.947916666664</v>
      </c>
      <c r="H95" s="1" t="s">
        <v>21</v>
      </c>
      <c r="I95" s="1" t="s">
        <v>22</v>
      </c>
      <c r="J95" s="1" t="s">
        <v>69</v>
      </c>
      <c r="L95" s="2">
        <v>2639.27</v>
      </c>
      <c r="M95" s="1" t="s">
        <v>0</v>
      </c>
    </row>
    <row r="96" spans="1:13" x14ac:dyDescent="0.2">
      <c r="A96" s="6" t="str">
        <f>VLOOKUP(J96,[1]Clientes!$C:$H,6,0)</f>
        <v>UNIPAR</v>
      </c>
      <c r="B96" s="7">
        <f t="shared" si="2"/>
        <v>45204</v>
      </c>
      <c r="C96" s="1" t="s">
        <v>258</v>
      </c>
      <c r="D96" s="1" t="s">
        <v>183</v>
      </c>
      <c r="E96" s="1" t="s">
        <v>184</v>
      </c>
      <c r="F96" s="4">
        <v>45204.302083333336</v>
      </c>
      <c r="G96" s="4">
        <v>45204.302083333336</v>
      </c>
      <c r="H96" s="1" t="s">
        <v>21</v>
      </c>
      <c r="I96" s="1" t="s">
        <v>22</v>
      </c>
      <c r="J96" s="1" t="s">
        <v>63</v>
      </c>
      <c r="L96" s="2">
        <v>10887.04</v>
      </c>
      <c r="M96" s="1" t="s">
        <v>647</v>
      </c>
    </row>
    <row r="97" spans="1:13" x14ac:dyDescent="0.2">
      <c r="A97" s="6" t="str">
        <f>VLOOKUP(J97,[1]Clientes!$C:$H,6,0)</f>
        <v>UNIPAR</v>
      </c>
      <c r="B97" s="7">
        <f t="shared" si="2"/>
        <v>45204</v>
      </c>
      <c r="C97" s="1" t="s">
        <v>259</v>
      </c>
      <c r="D97" s="1" t="s">
        <v>183</v>
      </c>
      <c r="E97" s="1" t="s">
        <v>184</v>
      </c>
      <c r="F97" s="4">
        <v>45204.352777777778</v>
      </c>
      <c r="G97" s="4">
        <v>45204.352777777778</v>
      </c>
      <c r="H97" s="1" t="s">
        <v>21</v>
      </c>
      <c r="I97" s="1" t="s">
        <v>22</v>
      </c>
      <c r="J97" s="1" t="s">
        <v>63</v>
      </c>
      <c r="L97" s="2">
        <v>10007.719999999999</v>
      </c>
      <c r="M97" s="1" t="s">
        <v>647</v>
      </c>
    </row>
    <row r="98" spans="1:13" x14ac:dyDescent="0.2">
      <c r="A98" s="6" t="str">
        <f>VLOOKUP(J98,[1]Clientes!$C:$H,6,0)</f>
        <v>LANXESS</v>
      </c>
      <c r="B98" s="7">
        <f t="shared" si="2"/>
        <v>45204</v>
      </c>
      <c r="C98" s="1" t="s">
        <v>260</v>
      </c>
      <c r="D98" s="1" t="s">
        <v>183</v>
      </c>
      <c r="E98" s="1" t="s">
        <v>184</v>
      </c>
      <c r="F98" s="4">
        <v>45204.434027777781</v>
      </c>
      <c r="G98" s="4">
        <v>45204.434027777781</v>
      </c>
      <c r="H98" s="1" t="s">
        <v>21</v>
      </c>
      <c r="I98" s="1" t="s">
        <v>22</v>
      </c>
      <c r="J98" s="1" t="s">
        <v>221</v>
      </c>
      <c r="L98" s="2">
        <v>982.98</v>
      </c>
      <c r="M98" s="1" t="s">
        <v>648</v>
      </c>
    </row>
    <row r="99" spans="1:13" x14ac:dyDescent="0.2">
      <c r="A99" s="6" t="str">
        <f>VLOOKUP(J99,[1]Clientes!$C:$H,6,0)</f>
        <v>OUTROS</v>
      </c>
      <c r="B99" s="7">
        <f t="shared" si="2"/>
        <v>45204</v>
      </c>
      <c r="C99" s="1" t="s">
        <v>53</v>
      </c>
      <c r="D99" s="1" t="s">
        <v>19</v>
      </c>
      <c r="E99" s="1" t="s">
        <v>20</v>
      </c>
      <c r="F99" s="4">
        <v>45204.462500000001</v>
      </c>
      <c r="G99" s="4">
        <v>45204.462500000001</v>
      </c>
      <c r="H99" s="1" t="s">
        <v>21</v>
      </c>
      <c r="I99" s="1" t="s">
        <v>22</v>
      </c>
      <c r="J99" s="1" t="s">
        <v>54</v>
      </c>
      <c r="L99" s="2">
        <v>4425</v>
      </c>
      <c r="M99" s="1" t="s">
        <v>4</v>
      </c>
    </row>
    <row r="100" spans="1:13" x14ac:dyDescent="0.2">
      <c r="A100" s="6" t="str">
        <f>VLOOKUP(J100,[1]Clientes!$C:$H,6,0)</f>
        <v>UNIPAR</v>
      </c>
      <c r="B100" s="7">
        <f t="shared" si="2"/>
        <v>45204</v>
      </c>
      <c r="C100" s="1" t="s">
        <v>261</v>
      </c>
      <c r="D100" s="1" t="s">
        <v>183</v>
      </c>
      <c r="E100" s="1" t="s">
        <v>184</v>
      </c>
      <c r="F100" s="4">
        <v>45204.472222222219</v>
      </c>
      <c r="G100" s="4">
        <v>45204.472222222219</v>
      </c>
      <c r="H100" s="1" t="s">
        <v>21</v>
      </c>
      <c r="I100" s="1" t="s">
        <v>22</v>
      </c>
      <c r="J100" s="1" t="s">
        <v>63</v>
      </c>
      <c r="L100" s="2">
        <v>5996.51</v>
      </c>
      <c r="M100" s="1" t="s">
        <v>647</v>
      </c>
    </row>
    <row r="101" spans="1:13" x14ac:dyDescent="0.2">
      <c r="A101" s="6" t="str">
        <f>VLOOKUP(J101,[1]Clientes!$C:$H,6,0)</f>
        <v>LANXESS</v>
      </c>
      <c r="B101" s="7">
        <f t="shared" si="2"/>
        <v>45204</v>
      </c>
      <c r="C101" s="1" t="s">
        <v>262</v>
      </c>
      <c r="D101" s="1" t="s">
        <v>183</v>
      </c>
      <c r="E101" s="1" t="s">
        <v>184</v>
      </c>
      <c r="F101" s="4">
        <v>45204.499305555553</v>
      </c>
      <c r="G101" s="4">
        <v>45204.499305555553</v>
      </c>
      <c r="H101" s="1" t="s">
        <v>21</v>
      </c>
      <c r="I101" s="1" t="s">
        <v>22</v>
      </c>
      <c r="J101" s="1" t="s">
        <v>221</v>
      </c>
      <c r="L101" s="2">
        <v>810.63</v>
      </c>
      <c r="M101" s="1" t="s">
        <v>648</v>
      </c>
    </row>
    <row r="102" spans="1:13" x14ac:dyDescent="0.2">
      <c r="A102" s="6" t="str">
        <f>VLOOKUP(J102,[1]Clientes!$C:$H,6,0)</f>
        <v>LANXESS</v>
      </c>
      <c r="B102" s="7">
        <f t="shared" si="2"/>
        <v>45204</v>
      </c>
      <c r="C102" s="1" t="s">
        <v>263</v>
      </c>
      <c r="D102" s="1" t="s">
        <v>183</v>
      </c>
      <c r="E102" s="1" t="s">
        <v>184</v>
      </c>
      <c r="F102" s="4">
        <v>45204.50277777778</v>
      </c>
      <c r="G102" s="4">
        <v>45204.50277777778</v>
      </c>
      <c r="H102" s="1" t="s">
        <v>21</v>
      </c>
      <c r="I102" s="1" t="s">
        <v>22</v>
      </c>
      <c r="J102" s="1" t="s">
        <v>221</v>
      </c>
      <c r="L102" s="2">
        <v>172.35</v>
      </c>
      <c r="M102" s="1" t="s">
        <v>648</v>
      </c>
    </row>
    <row r="103" spans="1:13" x14ac:dyDescent="0.2">
      <c r="A103" s="6" t="str">
        <f>VLOOKUP(J103,[1]Clientes!$C:$H,6,0)</f>
        <v>UNIPAR</v>
      </c>
      <c r="B103" s="7">
        <f t="shared" si="2"/>
        <v>45204</v>
      </c>
      <c r="C103" s="1" t="s">
        <v>264</v>
      </c>
      <c r="D103" s="1" t="s">
        <v>183</v>
      </c>
      <c r="E103" s="1" t="s">
        <v>184</v>
      </c>
      <c r="F103" s="4">
        <v>45204.525000000001</v>
      </c>
      <c r="G103" s="4">
        <v>45204.525000000001</v>
      </c>
      <c r="H103" s="1" t="s">
        <v>21</v>
      </c>
      <c r="I103" s="1" t="s">
        <v>22</v>
      </c>
      <c r="J103" s="1" t="s">
        <v>63</v>
      </c>
      <c r="L103" s="2">
        <v>6282.14</v>
      </c>
      <c r="M103" s="1" t="s">
        <v>647</v>
      </c>
    </row>
    <row r="104" spans="1:13" x14ac:dyDescent="0.2">
      <c r="A104" s="6" t="str">
        <f>VLOOKUP(J104,[1]Clientes!$C:$H,6,0)</f>
        <v>CBA</v>
      </c>
      <c r="B104" s="7">
        <f t="shared" si="2"/>
        <v>45204</v>
      </c>
      <c r="C104" s="1" t="s">
        <v>265</v>
      </c>
      <c r="D104" s="1" t="s">
        <v>183</v>
      </c>
      <c r="E104" s="1" t="s">
        <v>184</v>
      </c>
      <c r="F104" s="4">
        <v>45204.529861111114</v>
      </c>
      <c r="G104" s="4">
        <v>45204.529861111114</v>
      </c>
      <c r="H104" s="1" t="s">
        <v>21</v>
      </c>
      <c r="I104" s="1" t="s">
        <v>22</v>
      </c>
      <c r="J104" s="1" t="s">
        <v>210</v>
      </c>
      <c r="L104" s="2">
        <v>3895.91</v>
      </c>
      <c r="M104" s="1" t="s">
        <v>0</v>
      </c>
    </row>
    <row r="105" spans="1:13" x14ac:dyDescent="0.2">
      <c r="A105" s="6" t="s">
        <v>1</v>
      </c>
      <c r="B105" s="7">
        <f t="shared" si="2"/>
        <v>45204</v>
      </c>
      <c r="C105" s="1" t="s">
        <v>55</v>
      </c>
      <c r="D105" s="1" t="s">
        <v>19</v>
      </c>
      <c r="E105" s="1" t="s">
        <v>20</v>
      </c>
      <c r="F105" s="4">
        <v>45204.54791666667</v>
      </c>
      <c r="G105" s="4">
        <v>45204.54791666667</v>
      </c>
      <c r="H105" s="1" t="s">
        <v>21</v>
      </c>
      <c r="I105" s="1" t="s">
        <v>22</v>
      </c>
      <c r="J105" s="1" t="s">
        <v>25</v>
      </c>
      <c r="L105" s="2">
        <v>1164.79</v>
      </c>
      <c r="M105" s="1" t="s">
        <v>1</v>
      </c>
    </row>
    <row r="106" spans="1:13" x14ac:dyDescent="0.2">
      <c r="A106" s="6" t="str">
        <f>VLOOKUP(J106,[1]Clientes!$C:$H,6,0)</f>
        <v>CBA</v>
      </c>
      <c r="B106" s="7">
        <f t="shared" si="2"/>
        <v>45204</v>
      </c>
      <c r="C106" s="1" t="s">
        <v>266</v>
      </c>
      <c r="D106" s="1" t="s">
        <v>183</v>
      </c>
      <c r="E106" s="1" t="s">
        <v>184</v>
      </c>
      <c r="F106" s="4">
        <v>45204.54791666667</v>
      </c>
      <c r="G106" s="4">
        <v>45204.54791666667</v>
      </c>
      <c r="H106" s="1" t="s">
        <v>21</v>
      </c>
      <c r="I106" s="1" t="s">
        <v>22</v>
      </c>
      <c r="J106" s="1" t="s">
        <v>69</v>
      </c>
      <c r="L106" s="2">
        <v>2639.27</v>
      </c>
      <c r="M106" s="1" t="s">
        <v>0</v>
      </c>
    </row>
    <row r="107" spans="1:13" x14ac:dyDescent="0.2">
      <c r="A107" s="6" t="str">
        <f>VLOOKUP(J107,[1]Clientes!$C:$H,6,0)</f>
        <v>CBA</v>
      </c>
      <c r="B107" s="7">
        <f t="shared" si="2"/>
        <v>45204</v>
      </c>
      <c r="C107" s="1" t="s">
        <v>267</v>
      </c>
      <c r="D107" s="1" t="s">
        <v>183</v>
      </c>
      <c r="E107" s="1" t="s">
        <v>184</v>
      </c>
      <c r="F107" s="4">
        <v>45204.55</v>
      </c>
      <c r="G107" s="4">
        <v>45204.55</v>
      </c>
      <c r="H107" s="1" t="s">
        <v>21</v>
      </c>
      <c r="I107" s="1" t="s">
        <v>22</v>
      </c>
      <c r="J107" s="1" t="s">
        <v>69</v>
      </c>
      <c r="L107" s="2">
        <v>2639.27</v>
      </c>
      <c r="M107" s="1" t="s">
        <v>0</v>
      </c>
    </row>
    <row r="108" spans="1:13" x14ac:dyDescent="0.2">
      <c r="A108" s="6" t="str">
        <f>VLOOKUP(J108,[1]Clientes!$C:$H,6,0)</f>
        <v>CBA</v>
      </c>
      <c r="B108" s="7">
        <f t="shared" si="2"/>
        <v>45204</v>
      </c>
      <c r="C108" s="1" t="s">
        <v>268</v>
      </c>
      <c r="D108" s="1" t="s">
        <v>183</v>
      </c>
      <c r="E108" s="1" t="s">
        <v>184</v>
      </c>
      <c r="F108" s="4">
        <v>45204.568055555559</v>
      </c>
      <c r="G108" s="4">
        <v>45204.568055555559</v>
      </c>
      <c r="H108" s="1" t="s">
        <v>21</v>
      </c>
      <c r="I108" s="1" t="s">
        <v>22</v>
      </c>
      <c r="J108" s="1" t="s">
        <v>69</v>
      </c>
      <c r="L108" s="2">
        <v>1638.8</v>
      </c>
      <c r="M108" s="1" t="s">
        <v>0</v>
      </c>
    </row>
    <row r="109" spans="1:13" x14ac:dyDescent="0.2">
      <c r="A109" s="6" t="str">
        <f>VLOOKUP(J109,[1]Clientes!$C:$H,6,0)</f>
        <v>CBA</v>
      </c>
      <c r="B109" s="7">
        <f t="shared" si="2"/>
        <v>45204</v>
      </c>
      <c r="C109" s="1" t="s">
        <v>269</v>
      </c>
      <c r="D109" s="1" t="s">
        <v>183</v>
      </c>
      <c r="E109" s="1" t="s">
        <v>184</v>
      </c>
      <c r="F109" s="4">
        <v>45204.571527777778</v>
      </c>
      <c r="G109" s="4">
        <v>45204.571527777778</v>
      </c>
      <c r="H109" s="1" t="s">
        <v>21</v>
      </c>
      <c r="I109" s="1" t="s">
        <v>22</v>
      </c>
      <c r="J109" s="1" t="s">
        <v>69</v>
      </c>
      <c r="L109" s="2">
        <v>1638.69</v>
      </c>
      <c r="M109" s="1" t="s">
        <v>0</v>
      </c>
    </row>
    <row r="110" spans="1:13" x14ac:dyDescent="0.2">
      <c r="A110" s="6" t="str">
        <f>VLOOKUP(J110,[1]Clientes!$C:$H,6,0)</f>
        <v>CBA</v>
      </c>
      <c r="B110" s="7">
        <f t="shared" si="2"/>
        <v>45204</v>
      </c>
      <c r="C110" s="1" t="s">
        <v>270</v>
      </c>
      <c r="D110" s="1" t="s">
        <v>183</v>
      </c>
      <c r="E110" s="1" t="s">
        <v>184</v>
      </c>
      <c r="F110" s="4">
        <v>45204.606249999997</v>
      </c>
      <c r="G110" s="4">
        <v>45204.606249999997</v>
      </c>
      <c r="H110" s="1" t="s">
        <v>21</v>
      </c>
      <c r="I110" s="1" t="s">
        <v>22</v>
      </c>
      <c r="J110" s="1" t="s">
        <v>210</v>
      </c>
      <c r="L110" s="2">
        <v>3895.39</v>
      </c>
      <c r="M110" s="1" t="s">
        <v>0</v>
      </c>
    </row>
    <row r="111" spans="1:13" x14ac:dyDescent="0.2">
      <c r="A111" s="6" t="s">
        <v>1</v>
      </c>
      <c r="B111" s="7">
        <f t="shared" si="2"/>
        <v>45204</v>
      </c>
      <c r="C111" s="1" t="s">
        <v>56</v>
      </c>
      <c r="D111" s="1" t="s">
        <v>19</v>
      </c>
      <c r="E111" s="1" t="s">
        <v>20</v>
      </c>
      <c r="F111" s="4">
        <v>45204.611111111109</v>
      </c>
      <c r="G111" s="4">
        <v>45204.611111111109</v>
      </c>
      <c r="H111" s="1" t="s">
        <v>21</v>
      </c>
      <c r="I111" s="1" t="s">
        <v>22</v>
      </c>
      <c r="J111" s="1" t="s">
        <v>25</v>
      </c>
      <c r="L111" s="2">
        <v>2061.2800000000002</v>
      </c>
      <c r="M111" s="1" t="s">
        <v>1</v>
      </c>
    </row>
    <row r="112" spans="1:13" x14ac:dyDescent="0.2">
      <c r="A112" s="6" t="str">
        <f>VLOOKUP(J112,[1]Clientes!$C:$H,6,0)</f>
        <v>CBA</v>
      </c>
      <c r="B112" s="7">
        <f t="shared" si="2"/>
        <v>45204</v>
      </c>
      <c r="C112" s="1" t="s">
        <v>271</v>
      </c>
      <c r="D112" s="1" t="s">
        <v>183</v>
      </c>
      <c r="E112" s="1" t="s">
        <v>184</v>
      </c>
      <c r="F112" s="4">
        <v>45204.616666666669</v>
      </c>
      <c r="G112" s="4">
        <v>45204.616666666669</v>
      </c>
      <c r="H112" s="1" t="s">
        <v>21</v>
      </c>
      <c r="I112" s="1" t="s">
        <v>22</v>
      </c>
      <c r="J112" s="1" t="s">
        <v>210</v>
      </c>
      <c r="L112" s="2">
        <v>3239.89</v>
      </c>
      <c r="M112" s="1" t="s">
        <v>0</v>
      </c>
    </row>
    <row r="113" spans="1:13" x14ac:dyDescent="0.2">
      <c r="A113" s="6" t="str">
        <f>VLOOKUP(J113,[1]Clientes!$C:$H,6,0)</f>
        <v>CBA</v>
      </c>
      <c r="B113" s="7">
        <f t="shared" si="2"/>
        <v>45204</v>
      </c>
      <c r="C113" s="1" t="s">
        <v>272</v>
      </c>
      <c r="D113" s="1" t="s">
        <v>183</v>
      </c>
      <c r="E113" s="1" t="s">
        <v>184</v>
      </c>
      <c r="F113" s="4">
        <v>45204.620833333334</v>
      </c>
      <c r="G113" s="4">
        <v>45204.620833333334</v>
      </c>
      <c r="H113" s="1" t="s">
        <v>21</v>
      </c>
      <c r="I113" s="1" t="s">
        <v>22</v>
      </c>
      <c r="J113" s="1" t="s">
        <v>210</v>
      </c>
      <c r="L113" s="2">
        <v>3239.89</v>
      </c>
      <c r="M113" s="1" t="s">
        <v>0</v>
      </c>
    </row>
    <row r="114" spans="1:13" x14ac:dyDescent="0.2">
      <c r="A114" s="6" t="str">
        <f>VLOOKUP(J114,[1]Clientes!$C:$H,6,0)</f>
        <v>CBA</v>
      </c>
      <c r="B114" s="7">
        <f t="shared" si="2"/>
        <v>45204</v>
      </c>
      <c r="C114" s="1" t="s">
        <v>273</v>
      </c>
      <c r="D114" s="1" t="s">
        <v>183</v>
      </c>
      <c r="E114" s="1" t="s">
        <v>184</v>
      </c>
      <c r="F114" s="4">
        <v>45204.62222222222</v>
      </c>
      <c r="G114" s="4">
        <v>45204.62222222222</v>
      </c>
      <c r="H114" s="1" t="s">
        <v>21</v>
      </c>
      <c r="I114" s="1" t="s">
        <v>22</v>
      </c>
      <c r="J114" s="1" t="s">
        <v>210</v>
      </c>
      <c r="L114" s="2">
        <v>3239.89</v>
      </c>
      <c r="M114" s="1" t="s">
        <v>0</v>
      </c>
    </row>
    <row r="115" spans="1:13" x14ac:dyDescent="0.2">
      <c r="A115" s="6" t="str">
        <f>VLOOKUP(J115,[1]Clientes!$C:$H,6,0)</f>
        <v>CBA</v>
      </c>
      <c r="B115" s="7">
        <f t="shared" si="2"/>
        <v>45204</v>
      </c>
      <c r="C115" s="1" t="s">
        <v>274</v>
      </c>
      <c r="D115" s="1" t="s">
        <v>183</v>
      </c>
      <c r="E115" s="1" t="s">
        <v>184</v>
      </c>
      <c r="F115" s="4">
        <v>45204.623611111114</v>
      </c>
      <c r="G115" s="4">
        <v>45204.623611111114</v>
      </c>
      <c r="H115" s="1" t="s">
        <v>21</v>
      </c>
      <c r="I115" s="1" t="s">
        <v>22</v>
      </c>
      <c r="J115" s="1" t="s">
        <v>210</v>
      </c>
      <c r="L115" s="2">
        <v>3239.89</v>
      </c>
      <c r="M115" s="1" t="s">
        <v>0</v>
      </c>
    </row>
    <row r="116" spans="1:13" x14ac:dyDescent="0.2">
      <c r="A116" s="6" t="str">
        <f>VLOOKUP(J116,[1]Clientes!$C:$H,6,0)</f>
        <v>CBA</v>
      </c>
      <c r="B116" s="7">
        <f t="shared" si="2"/>
        <v>45204</v>
      </c>
      <c r="C116" s="1" t="s">
        <v>275</v>
      </c>
      <c r="D116" s="1" t="s">
        <v>183</v>
      </c>
      <c r="E116" s="1" t="s">
        <v>184</v>
      </c>
      <c r="F116" s="4">
        <v>45204.627083333333</v>
      </c>
      <c r="G116" s="4">
        <v>45204.627083333333</v>
      </c>
      <c r="H116" s="1" t="s">
        <v>21</v>
      </c>
      <c r="I116" s="1" t="s">
        <v>22</v>
      </c>
      <c r="J116" s="1" t="s">
        <v>210</v>
      </c>
      <c r="L116" s="2">
        <v>3239.89</v>
      </c>
      <c r="M116" s="1" t="s">
        <v>0</v>
      </c>
    </row>
    <row r="117" spans="1:13" x14ac:dyDescent="0.2">
      <c r="A117" s="6" t="s">
        <v>1</v>
      </c>
      <c r="B117" s="7">
        <f t="shared" si="2"/>
        <v>45204</v>
      </c>
      <c r="C117" s="1" t="s">
        <v>57</v>
      </c>
      <c r="D117" s="1" t="s">
        <v>19</v>
      </c>
      <c r="E117" s="1" t="s">
        <v>20</v>
      </c>
      <c r="F117" s="4">
        <v>45204.631249999999</v>
      </c>
      <c r="G117" s="4">
        <v>45204.631249999999</v>
      </c>
      <c r="H117" s="1" t="s">
        <v>21</v>
      </c>
      <c r="I117" s="1" t="s">
        <v>22</v>
      </c>
      <c r="J117" s="1" t="s">
        <v>25</v>
      </c>
      <c r="L117" s="2">
        <v>2633.64</v>
      </c>
      <c r="M117" s="1" t="s">
        <v>1</v>
      </c>
    </row>
    <row r="118" spans="1:13" x14ac:dyDescent="0.2">
      <c r="A118" s="6" t="s">
        <v>1</v>
      </c>
      <c r="B118" s="7">
        <f t="shared" si="2"/>
        <v>45204</v>
      </c>
      <c r="C118" s="1" t="s">
        <v>58</v>
      </c>
      <c r="D118" s="1" t="s">
        <v>19</v>
      </c>
      <c r="E118" s="1" t="s">
        <v>20</v>
      </c>
      <c r="F118" s="4">
        <v>45204.65</v>
      </c>
      <c r="G118" s="4">
        <v>45204.65</v>
      </c>
      <c r="H118" s="1" t="s">
        <v>21</v>
      </c>
      <c r="I118" s="1" t="s">
        <v>22</v>
      </c>
      <c r="J118" s="1" t="s">
        <v>25</v>
      </c>
      <c r="L118" s="2">
        <v>2633.64</v>
      </c>
      <c r="M118" s="1" t="s">
        <v>1</v>
      </c>
    </row>
    <row r="119" spans="1:13" x14ac:dyDescent="0.2">
      <c r="A119" s="6" t="str">
        <f>VLOOKUP(J119,[1]Clientes!$C:$H,6,0)</f>
        <v>CBA</v>
      </c>
      <c r="B119" s="7">
        <f t="shared" si="2"/>
        <v>45204</v>
      </c>
      <c r="C119" s="1" t="s">
        <v>276</v>
      </c>
      <c r="D119" s="1" t="s">
        <v>183</v>
      </c>
      <c r="E119" s="1" t="s">
        <v>184</v>
      </c>
      <c r="F119" s="4">
        <v>45204.657638888886</v>
      </c>
      <c r="G119" s="4">
        <v>45204.657638888886</v>
      </c>
      <c r="H119" s="1" t="s">
        <v>21</v>
      </c>
      <c r="I119" s="1" t="s">
        <v>22</v>
      </c>
      <c r="J119" s="1" t="s">
        <v>69</v>
      </c>
      <c r="L119" s="2">
        <v>1621.28</v>
      </c>
      <c r="M119" s="1" t="s">
        <v>0</v>
      </c>
    </row>
    <row r="120" spans="1:13" x14ac:dyDescent="0.2">
      <c r="A120" s="6" t="s">
        <v>1</v>
      </c>
      <c r="B120" s="7">
        <f t="shared" si="2"/>
        <v>45204</v>
      </c>
      <c r="C120" s="1" t="s">
        <v>59</v>
      </c>
      <c r="D120" s="1" t="s">
        <v>19</v>
      </c>
      <c r="E120" s="1" t="s">
        <v>20</v>
      </c>
      <c r="F120" s="4">
        <v>45204.661805555559</v>
      </c>
      <c r="G120" s="4">
        <v>45204.661805555559</v>
      </c>
      <c r="H120" s="1" t="s">
        <v>21</v>
      </c>
      <c r="I120" s="1" t="s">
        <v>22</v>
      </c>
      <c r="J120" s="1" t="s">
        <v>25</v>
      </c>
      <c r="L120" s="2">
        <v>1302.33</v>
      </c>
      <c r="M120" s="1" t="s">
        <v>1</v>
      </c>
    </row>
    <row r="121" spans="1:13" x14ac:dyDescent="0.2">
      <c r="A121" s="6" t="str">
        <f>VLOOKUP(J121,[1]Clientes!$C:$H,6,0)</f>
        <v>LANXESS</v>
      </c>
      <c r="B121" s="7">
        <f t="shared" si="2"/>
        <v>45204</v>
      </c>
      <c r="C121" s="1" t="s">
        <v>277</v>
      </c>
      <c r="D121" s="1" t="s">
        <v>183</v>
      </c>
      <c r="E121" s="1" t="s">
        <v>184</v>
      </c>
      <c r="F121" s="4">
        <v>45204.661805555559</v>
      </c>
      <c r="G121" s="4">
        <v>45204.661805555559</v>
      </c>
      <c r="H121" s="1" t="s">
        <v>21</v>
      </c>
      <c r="I121" s="1" t="s">
        <v>22</v>
      </c>
      <c r="J121" s="1" t="s">
        <v>200</v>
      </c>
      <c r="L121" s="2">
        <v>853.06</v>
      </c>
      <c r="M121" s="1" t="s">
        <v>648</v>
      </c>
    </row>
    <row r="122" spans="1:13" x14ac:dyDescent="0.2">
      <c r="A122" s="6" t="s">
        <v>1</v>
      </c>
      <c r="B122" s="7">
        <f t="shared" si="2"/>
        <v>45204</v>
      </c>
      <c r="C122" s="1" t="s">
        <v>60</v>
      </c>
      <c r="D122" s="1" t="s">
        <v>19</v>
      </c>
      <c r="E122" s="1" t="s">
        <v>20</v>
      </c>
      <c r="F122" s="4">
        <v>45204.68472222222</v>
      </c>
      <c r="G122" s="4">
        <v>45204.68472222222</v>
      </c>
      <c r="H122" s="1" t="s">
        <v>21</v>
      </c>
      <c r="I122" s="1" t="s">
        <v>22</v>
      </c>
      <c r="J122" s="1" t="s">
        <v>25</v>
      </c>
      <c r="L122" s="2">
        <v>2020.38</v>
      </c>
      <c r="M122" s="1" t="s">
        <v>1</v>
      </c>
    </row>
    <row r="123" spans="1:13" x14ac:dyDescent="0.2">
      <c r="A123" s="6" t="s">
        <v>1</v>
      </c>
      <c r="B123" s="7">
        <f t="shared" si="2"/>
        <v>45204</v>
      </c>
      <c r="C123" s="1" t="s">
        <v>61</v>
      </c>
      <c r="D123" s="1" t="s">
        <v>19</v>
      </c>
      <c r="E123" s="1" t="s">
        <v>20</v>
      </c>
      <c r="F123" s="4">
        <v>45204.691666666666</v>
      </c>
      <c r="G123" s="4">
        <v>45204.691666666666</v>
      </c>
      <c r="H123" s="1" t="s">
        <v>21</v>
      </c>
      <c r="I123" s="1" t="s">
        <v>22</v>
      </c>
      <c r="J123" s="1" t="s">
        <v>25</v>
      </c>
      <c r="L123" s="2">
        <v>2061.2600000000002</v>
      </c>
      <c r="M123" s="1" t="s">
        <v>1</v>
      </c>
    </row>
    <row r="124" spans="1:13" x14ac:dyDescent="0.2">
      <c r="A124" s="6" t="str">
        <f>VLOOKUP(J124,[1]Clientes!$C:$H,6,0)</f>
        <v>IMERYS</v>
      </c>
      <c r="B124" s="7">
        <f t="shared" si="2"/>
        <v>45204</v>
      </c>
      <c r="C124" s="1" t="s">
        <v>278</v>
      </c>
      <c r="D124" s="1" t="s">
        <v>183</v>
      </c>
      <c r="E124" s="1" t="s">
        <v>184</v>
      </c>
      <c r="F124" s="4">
        <v>45204.701388888891</v>
      </c>
      <c r="G124" s="4">
        <v>45204.701388888891</v>
      </c>
      <c r="H124" s="1" t="s">
        <v>21</v>
      </c>
      <c r="I124" s="1" t="s">
        <v>22</v>
      </c>
      <c r="J124" s="1" t="s">
        <v>188</v>
      </c>
      <c r="L124" s="2">
        <v>1588.3</v>
      </c>
      <c r="M124" s="1" t="s">
        <v>6</v>
      </c>
    </row>
    <row r="125" spans="1:13" x14ac:dyDescent="0.2">
      <c r="A125" s="6" t="str">
        <f>VLOOKUP(J125,[1]Clientes!$C:$H,6,0)</f>
        <v>CBA</v>
      </c>
      <c r="B125" s="7">
        <f t="shared" si="2"/>
        <v>45204</v>
      </c>
      <c r="C125" s="1" t="s">
        <v>279</v>
      </c>
      <c r="D125" s="1" t="s">
        <v>183</v>
      </c>
      <c r="E125" s="1" t="s">
        <v>184</v>
      </c>
      <c r="F125" s="4">
        <v>45204.706944444442</v>
      </c>
      <c r="G125" s="4">
        <v>45204.706944444442</v>
      </c>
      <c r="H125" s="1" t="s">
        <v>21</v>
      </c>
      <c r="I125" s="1" t="s">
        <v>22</v>
      </c>
      <c r="J125" s="1" t="s">
        <v>69</v>
      </c>
      <c r="L125" s="2">
        <v>3239.89</v>
      </c>
      <c r="M125" s="1" t="s">
        <v>0</v>
      </c>
    </row>
    <row r="126" spans="1:13" x14ac:dyDescent="0.2">
      <c r="A126" s="6" t="str">
        <f>VLOOKUP(J126,[1]Clientes!$C:$H,6,0)</f>
        <v>CBA</v>
      </c>
      <c r="B126" s="7">
        <f t="shared" si="2"/>
        <v>45204</v>
      </c>
      <c r="C126" s="1" t="s">
        <v>280</v>
      </c>
      <c r="D126" s="1" t="s">
        <v>183</v>
      </c>
      <c r="E126" s="1" t="s">
        <v>184</v>
      </c>
      <c r="F126" s="4">
        <v>45204.722916666666</v>
      </c>
      <c r="G126" s="4">
        <v>45204.722916666666</v>
      </c>
      <c r="H126" s="1" t="s">
        <v>21</v>
      </c>
      <c r="I126" s="1" t="s">
        <v>22</v>
      </c>
      <c r="J126" s="1" t="s">
        <v>69</v>
      </c>
      <c r="L126" s="2">
        <v>3239.89</v>
      </c>
      <c r="M126" s="1" t="s">
        <v>0</v>
      </c>
    </row>
    <row r="127" spans="1:13" x14ac:dyDescent="0.2">
      <c r="A127" s="6" t="str">
        <f>VLOOKUP(J127,[1]Clientes!$C:$H,6,0)</f>
        <v>UNIPAR</v>
      </c>
      <c r="B127" s="7">
        <f t="shared" si="2"/>
        <v>45204</v>
      </c>
      <c r="C127" s="1" t="s">
        <v>62</v>
      </c>
      <c r="D127" s="1" t="s">
        <v>19</v>
      </c>
      <c r="E127" s="1" t="s">
        <v>20</v>
      </c>
      <c r="F127" s="4">
        <v>45204.780555555553</v>
      </c>
      <c r="G127" s="4">
        <v>45204.780555555553</v>
      </c>
      <c r="H127" s="1" t="s">
        <v>21</v>
      </c>
      <c r="I127" s="1" t="s">
        <v>22</v>
      </c>
      <c r="J127" s="1" t="s">
        <v>63</v>
      </c>
      <c r="L127" s="2">
        <v>10716.12</v>
      </c>
      <c r="M127" s="1" t="s">
        <v>647</v>
      </c>
    </row>
    <row r="128" spans="1:13" x14ac:dyDescent="0.2">
      <c r="A128" s="6" t="str">
        <f>VLOOKUP(J128,[1]Clientes!$C:$H,6,0)</f>
        <v>IMERYS</v>
      </c>
      <c r="B128" s="7">
        <f t="shared" si="2"/>
        <v>45204</v>
      </c>
      <c r="C128" s="1" t="s">
        <v>281</v>
      </c>
      <c r="D128" s="1" t="s">
        <v>183</v>
      </c>
      <c r="E128" s="1" t="s">
        <v>184</v>
      </c>
      <c r="F128" s="4">
        <v>45204.797222222223</v>
      </c>
      <c r="G128" s="4">
        <v>45204.797222222223</v>
      </c>
      <c r="H128" s="1" t="s">
        <v>21</v>
      </c>
      <c r="I128" s="1" t="s">
        <v>22</v>
      </c>
      <c r="J128" s="1" t="s">
        <v>188</v>
      </c>
      <c r="L128" s="2">
        <v>1295.52</v>
      </c>
      <c r="M128" s="1" t="s">
        <v>6</v>
      </c>
    </row>
    <row r="129" spans="1:13" x14ac:dyDescent="0.2">
      <c r="A129" s="6" t="str">
        <f>VLOOKUP(J129,[1]Clientes!$C:$H,6,0)</f>
        <v>IMERYS</v>
      </c>
      <c r="B129" s="7">
        <f t="shared" si="2"/>
        <v>45204</v>
      </c>
      <c r="C129" s="1" t="s">
        <v>282</v>
      </c>
      <c r="D129" s="1" t="s">
        <v>183</v>
      </c>
      <c r="E129" s="1" t="s">
        <v>184</v>
      </c>
      <c r="F129" s="4">
        <v>45204.809027777781</v>
      </c>
      <c r="G129" s="4">
        <v>45204.809027777781</v>
      </c>
      <c r="H129" s="1" t="s">
        <v>21</v>
      </c>
      <c r="I129" s="1" t="s">
        <v>22</v>
      </c>
      <c r="J129" s="1" t="s">
        <v>188</v>
      </c>
      <c r="L129" s="2">
        <v>1328.4</v>
      </c>
      <c r="M129" s="1" t="s">
        <v>6</v>
      </c>
    </row>
    <row r="130" spans="1:13" x14ac:dyDescent="0.2">
      <c r="A130" s="6" t="s">
        <v>1</v>
      </c>
      <c r="B130" s="7">
        <f t="shared" si="2"/>
        <v>45204</v>
      </c>
      <c r="C130" s="1" t="s">
        <v>64</v>
      </c>
      <c r="D130" s="1" t="s">
        <v>19</v>
      </c>
      <c r="E130" s="1" t="s">
        <v>20</v>
      </c>
      <c r="F130" s="4">
        <v>45204.881249999999</v>
      </c>
      <c r="G130" s="4">
        <v>45204.881249999999</v>
      </c>
      <c r="H130" s="1" t="s">
        <v>21</v>
      </c>
      <c r="I130" s="1" t="s">
        <v>22</v>
      </c>
      <c r="J130" s="1" t="s">
        <v>25</v>
      </c>
      <c r="L130" s="2">
        <v>2633.64</v>
      </c>
      <c r="M130" s="1" t="s">
        <v>1</v>
      </c>
    </row>
    <row r="131" spans="1:13" x14ac:dyDescent="0.2">
      <c r="A131" s="6" t="str">
        <f>VLOOKUP(J131,[1]Clientes!$C:$H,6,0)</f>
        <v>CBA</v>
      </c>
      <c r="B131" s="7">
        <f t="shared" si="2"/>
        <v>45204</v>
      </c>
      <c r="C131" s="1" t="s">
        <v>283</v>
      </c>
      <c r="D131" s="1" t="s">
        <v>183</v>
      </c>
      <c r="E131" s="1" t="s">
        <v>184</v>
      </c>
      <c r="F131" s="4">
        <v>45204.914583333331</v>
      </c>
      <c r="G131" s="4">
        <v>45204.914583333331</v>
      </c>
      <c r="H131" s="1" t="s">
        <v>21</v>
      </c>
      <c r="I131" s="1" t="s">
        <v>22</v>
      </c>
      <c r="J131" s="1" t="s">
        <v>69</v>
      </c>
      <c r="L131" s="2">
        <v>2792.08</v>
      </c>
      <c r="M131" s="1" t="s">
        <v>0</v>
      </c>
    </row>
    <row r="132" spans="1:13" x14ac:dyDescent="0.2">
      <c r="A132" s="6" t="str">
        <f>VLOOKUP(J132,[1]Clientes!$C:$H,6,0)</f>
        <v>CBA</v>
      </c>
      <c r="B132" s="7">
        <f t="shared" si="2"/>
        <v>45204</v>
      </c>
      <c r="C132" s="1" t="s">
        <v>284</v>
      </c>
      <c r="D132" s="1" t="s">
        <v>183</v>
      </c>
      <c r="E132" s="1" t="s">
        <v>184</v>
      </c>
      <c r="F132" s="4">
        <v>45204.915972222225</v>
      </c>
      <c r="G132" s="4">
        <v>45204.915972222225</v>
      </c>
      <c r="H132" s="1" t="s">
        <v>21</v>
      </c>
      <c r="I132" s="1" t="s">
        <v>22</v>
      </c>
      <c r="J132" s="1" t="s">
        <v>69</v>
      </c>
      <c r="L132" s="2">
        <v>2791.7</v>
      </c>
      <c r="M132" s="1" t="s">
        <v>0</v>
      </c>
    </row>
    <row r="133" spans="1:13" x14ac:dyDescent="0.2">
      <c r="A133" s="6" t="str">
        <f>VLOOKUP(J133,[1]Clientes!$C:$H,6,0)</f>
        <v>CBA</v>
      </c>
      <c r="B133" s="7">
        <f t="shared" si="2"/>
        <v>45204</v>
      </c>
      <c r="C133" s="1" t="s">
        <v>285</v>
      </c>
      <c r="D133" s="1" t="s">
        <v>183</v>
      </c>
      <c r="E133" s="1" t="s">
        <v>184</v>
      </c>
      <c r="F133" s="4">
        <v>45204.92083333333</v>
      </c>
      <c r="G133" s="4">
        <v>45204.92083333333</v>
      </c>
      <c r="H133" s="1" t="s">
        <v>21</v>
      </c>
      <c r="I133" s="1" t="s">
        <v>22</v>
      </c>
      <c r="J133" s="1" t="s">
        <v>69</v>
      </c>
      <c r="L133" s="2">
        <v>2791</v>
      </c>
      <c r="M133" s="1" t="s">
        <v>0</v>
      </c>
    </row>
    <row r="134" spans="1:13" x14ac:dyDescent="0.2">
      <c r="A134" s="6" t="str">
        <f>VLOOKUP(J134,[1]Clientes!$C:$H,6,0)</f>
        <v>CBA</v>
      </c>
      <c r="B134" s="7">
        <f t="shared" si="2"/>
        <v>45204</v>
      </c>
      <c r="C134" s="1" t="s">
        <v>286</v>
      </c>
      <c r="D134" s="1" t="s">
        <v>183</v>
      </c>
      <c r="E134" s="1" t="s">
        <v>184</v>
      </c>
      <c r="F134" s="4">
        <v>45204.922222222223</v>
      </c>
      <c r="G134" s="4">
        <v>45204.922222222223</v>
      </c>
      <c r="H134" s="1" t="s">
        <v>21</v>
      </c>
      <c r="I134" s="1" t="s">
        <v>22</v>
      </c>
      <c r="J134" s="1" t="s">
        <v>69</v>
      </c>
      <c r="L134" s="2">
        <v>2792.02</v>
      </c>
      <c r="M134" s="1" t="s">
        <v>0</v>
      </c>
    </row>
    <row r="135" spans="1:13" x14ac:dyDescent="0.2">
      <c r="A135" s="6" t="str">
        <f>VLOOKUP(J135,[1]Clientes!$C:$H,6,0)</f>
        <v>CBA</v>
      </c>
      <c r="B135" s="7">
        <f t="shared" si="2"/>
        <v>45204</v>
      </c>
      <c r="C135" s="1" t="s">
        <v>287</v>
      </c>
      <c r="D135" s="1" t="s">
        <v>183</v>
      </c>
      <c r="E135" s="1" t="s">
        <v>184</v>
      </c>
      <c r="F135" s="4">
        <v>45204.92291666667</v>
      </c>
      <c r="G135" s="4">
        <v>45204.92291666667</v>
      </c>
      <c r="H135" s="1" t="s">
        <v>21</v>
      </c>
      <c r="I135" s="1" t="s">
        <v>22</v>
      </c>
      <c r="J135" s="1" t="s">
        <v>69</v>
      </c>
      <c r="L135" s="2">
        <v>2642.65</v>
      </c>
      <c r="M135" s="1" t="s">
        <v>0</v>
      </c>
    </row>
    <row r="136" spans="1:13" x14ac:dyDescent="0.2">
      <c r="A136" s="6" t="str">
        <f>VLOOKUP(J136,[1]Clientes!$C:$H,6,0)</f>
        <v>CBA</v>
      </c>
      <c r="B136" s="7">
        <f t="shared" si="2"/>
        <v>45204</v>
      </c>
      <c r="C136" s="1" t="s">
        <v>288</v>
      </c>
      <c r="D136" s="1" t="s">
        <v>183</v>
      </c>
      <c r="E136" s="1" t="s">
        <v>184</v>
      </c>
      <c r="F136" s="4">
        <v>45204.924305555556</v>
      </c>
      <c r="G136" s="4">
        <v>45204.924305555556</v>
      </c>
      <c r="H136" s="1" t="s">
        <v>21</v>
      </c>
      <c r="I136" s="1" t="s">
        <v>22</v>
      </c>
      <c r="J136" s="1" t="s">
        <v>69</v>
      </c>
      <c r="L136" s="2">
        <v>2662.02</v>
      </c>
      <c r="M136" s="1" t="s">
        <v>0</v>
      </c>
    </row>
    <row r="137" spans="1:13" x14ac:dyDescent="0.2">
      <c r="A137" s="6" t="str">
        <f>VLOOKUP(J137,[1]Clientes!$C:$H,6,0)</f>
        <v>CBA</v>
      </c>
      <c r="B137" s="7">
        <f t="shared" si="2"/>
        <v>45205</v>
      </c>
      <c r="C137" s="1" t="s">
        <v>289</v>
      </c>
      <c r="D137" s="1" t="s">
        <v>183</v>
      </c>
      <c r="E137" s="1" t="s">
        <v>184</v>
      </c>
      <c r="F137" s="4">
        <v>45205.337500000001</v>
      </c>
      <c r="G137" s="4">
        <v>45205.337500000001</v>
      </c>
      <c r="H137" s="1" t="s">
        <v>21</v>
      </c>
      <c r="I137" s="1" t="s">
        <v>22</v>
      </c>
      <c r="J137" s="1" t="s">
        <v>69</v>
      </c>
      <c r="L137" s="2">
        <v>3420.9</v>
      </c>
      <c r="M137" s="1" t="s">
        <v>0</v>
      </c>
    </row>
    <row r="138" spans="1:13" x14ac:dyDescent="0.2">
      <c r="A138" s="6" t="str">
        <f>VLOOKUP(J138,[1]Clientes!$C:$H,6,0)</f>
        <v>CBA</v>
      </c>
      <c r="B138" s="7">
        <f t="shared" si="2"/>
        <v>45205</v>
      </c>
      <c r="C138" s="1" t="s">
        <v>290</v>
      </c>
      <c r="D138" s="1" t="s">
        <v>183</v>
      </c>
      <c r="E138" s="1" t="s">
        <v>184</v>
      </c>
      <c r="F138" s="4">
        <v>45205.339583333334</v>
      </c>
      <c r="G138" s="4">
        <v>45205.339583333334</v>
      </c>
      <c r="H138" s="1" t="s">
        <v>21</v>
      </c>
      <c r="I138" s="1" t="s">
        <v>22</v>
      </c>
      <c r="J138" s="1" t="s">
        <v>69</v>
      </c>
      <c r="L138" s="2">
        <v>3420.27</v>
      </c>
      <c r="M138" s="1" t="s">
        <v>0</v>
      </c>
    </row>
    <row r="139" spans="1:13" x14ac:dyDescent="0.2">
      <c r="A139" s="6" t="str">
        <f>VLOOKUP(J139,[1]Clientes!$C:$H,6,0)</f>
        <v>CBA</v>
      </c>
      <c r="B139" s="7">
        <f t="shared" si="2"/>
        <v>45205</v>
      </c>
      <c r="C139" s="1" t="s">
        <v>291</v>
      </c>
      <c r="D139" s="1" t="s">
        <v>183</v>
      </c>
      <c r="E139" s="1" t="s">
        <v>184</v>
      </c>
      <c r="F139" s="4">
        <v>45205.342361111114</v>
      </c>
      <c r="G139" s="4">
        <v>45205.342361111114</v>
      </c>
      <c r="H139" s="1" t="s">
        <v>21</v>
      </c>
      <c r="I139" s="1" t="s">
        <v>22</v>
      </c>
      <c r="J139" s="1" t="s">
        <v>69</v>
      </c>
      <c r="L139" s="2">
        <v>3420.74</v>
      </c>
      <c r="M139" s="1" t="s">
        <v>0</v>
      </c>
    </row>
    <row r="140" spans="1:13" x14ac:dyDescent="0.2">
      <c r="A140" s="6" t="str">
        <f>VLOOKUP(J140,[1]Clientes!$C:$H,6,0)</f>
        <v>CBA</v>
      </c>
      <c r="B140" s="7">
        <f t="shared" si="2"/>
        <v>45205</v>
      </c>
      <c r="C140" s="1" t="s">
        <v>292</v>
      </c>
      <c r="D140" s="1" t="s">
        <v>183</v>
      </c>
      <c r="E140" s="1" t="s">
        <v>184</v>
      </c>
      <c r="F140" s="4">
        <v>45205.34375</v>
      </c>
      <c r="G140" s="4">
        <v>45205.34375</v>
      </c>
      <c r="H140" s="1" t="s">
        <v>21</v>
      </c>
      <c r="I140" s="1" t="s">
        <v>22</v>
      </c>
      <c r="J140" s="1" t="s">
        <v>69</v>
      </c>
      <c r="L140" s="2">
        <v>3420.17</v>
      </c>
      <c r="M140" s="1" t="s">
        <v>0</v>
      </c>
    </row>
    <row r="141" spans="1:13" x14ac:dyDescent="0.2">
      <c r="A141" s="6" t="str">
        <f>VLOOKUP(J141,[1]Clientes!$C:$H,6,0)</f>
        <v>CBA</v>
      </c>
      <c r="B141" s="7">
        <f t="shared" si="2"/>
        <v>45205</v>
      </c>
      <c r="C141" s="1" t="s">
        <v>293</v>
      </c>
      <c r="D141" s="1" t="s">
        <v>183</v>
      </c>
      <c r="E141" s="1" t="s">
        <v>184</v>
      </c>
      <c r="F141" s="4">
        <v>45205.345138888886</v>
      </c>
      <c r="G141" s="4">
        <v>45205.345138888886</v>
      </c>
      <c r="H141" s="1" t="s">
        <v>21</v>
      </c>
      <c r="I141" s="1" t="s">
        <v>22</v>
      </c>
      <c r="J141" s="1" t="s">
        <v>69</v>
      </c>
      <c r="L141" s="2">
        <v>3419.03</v>
      </c>
      <c r="M141" s="1" t="s">
        <v>0</v>
      </c>
    </row>
    <row r="142" spans="1:13" x14ac:dyDescent="0.2">
      <c r="A142" s="6" t="str">
        <f>VLOOKUP(J142,[1]Clientes!$C:$H,6,0)</f>
        <v>CBA</v>
      </c>
      <c r="B142" s="7">
        <f t="shared" si="2"/>
        <v>45205</v>
      </c>
      <c r="C142" s="1" t="s">
        <v>294</v>
      </c>
      <c r="D142" s="1" t="s">
        <v>183</v>
      </c>
      <c r="E142" s="1" t="s">
        <v>184</v>
      </c>
      <c r="F142" s="4">
        <v>45205.34652777778</v>
      </c>
      <c r="G142" s="4">
        <v>45205.34652777778</v>
      </c>
      <c r="H142" s="1" t="s">
        <v>21</v>
      </c>
      <c r="I142" s="1" t="s">
        <v>22</v>
      </c>
      <c r="J142" s="1" t="s">
        <v>69</v>
      </c>
      <c r="L142" s="2">
        <v>3421.15</v>
      </c>
      <c r="M142" s="1" t="s">
        <v>0</v>
      </c>
    </row>
    <row r="143" spans="1:13" x14ac:dyDescent="0.2">
      <c r="A143" s="6" t="str">
        <f>VLOOKUP(J143,[1]Clientes!$C:$H,6,0)</f>
        <v>CBA</v>
      </c>
      <c r="B143" s="7">
        <f t="shared" ref="B143:B206" si="3">QUOTIENT(F143,1)</f>
        <v>45205</v>
      </c>
      <c r="C143" s="1" t="s">
        <v>295</v>
      </c>
      <c r="D143" s="1" t="s">
        <v>183</v>
      </c>
      <c r="E143" s="1" t="s">
        <v>184</v>
      </c>
      <c r="F143" s="4">
        <v>45205.348611111112</v>
      </c>
      <c r="G143" s="4">
        <v>45205.348611111112</v>
      </c>
      <c r="H143" s="1" t="s">
        <v>21</v>
      </c>
      <c r="I143" s="1" t="s">
        <v>22</v>
      </c>
      <c r="J143" s="1" t="s">
        <v>69</v>
      </c>
      <c r="L143" s="2">
        <v>3421.65</v>
      </c>
      <c r="M143" s="1" t="s">
        <v>0</v>
      </c>
    </row>
    <row r="144" spans="1:13" x14ac:dyDescent="0.2">
      <c r="A144" s="6" t="str">
        <f>VLOOKUP(J144,[1]Clientes!$C:$H,6,0)</f>
        <v>CBA</v>
      </c>
      <c r="B144" s="7">
        <f t="shared" si="3"/>
        <v>45205</v>
      </c>
      <c r="C144" s="1" t="s">
        <v>296</v>
      </c>
      <c r="D144" s="1" t="s">
        <v>183</v>
      </c>
      <c r="E144" s="1" t="s">
        <v>184</v>
      </c>
      <c r="F144" s="4">
        <v>45205.35</v>
      </c>
      <c r="G144" s="4">
        <v>45205.35</v>
      </c>
      <c r="H144" s="1" t="s">
        <v>21</v>
      </c>
      <c r="I144" s="1" t="s">
        <v>22</v>
      </c>
      <c r="J144" s="1" t="s">
        <v>69</v>
      </c>
      <c r="L144" s="2">
        <v>3420.55</v>
      </c>
      <c r="M144" s="1" t="s">
        <v>0</v>
      </c>
    </row>
    <row r="145" spans="1:13" x14ac:dyDescent="0.2">
      <c r="A145" s="6" t="str">
        <f>VLOOKUP(J145,[1]Clientes!$C:$H,6,0)</f>
        <v>CBA</v>
      </c>
      <c r="B145" s="7">
        <f t="shared" si="3"/>
        <v>45205</v>
      </c>
      <c r="C145" s="1" t="s">
        <v>297</v>
      </c>
      <c r="D145" s="1" t="s">
        <v>183</v>
      </c>
      <c r="E145" s="1" t="s">
        <v>184</v>
      </c>
      <c r="F145" s="4">
        <v>45205.351388888892</v>
      </c>
      <c r="G145" s="4">
        <v>45205.351388888892</v>
      </c>
      <c r="H145" s="1" t="s">
        <v>21</v>
      </c>
      <c r="I145" s="1" t="s">
        <v>22</v>
      </c>
      <c r="J145" s="1" t="s">
        <v>69</v>
      </c>
      <c r="L145" s="2">
        <v>3420.02</v>
      </c>
      <c r="M145" s="1" t="s">
        <v>0</v>
      </c>
    </row>
    <row r="146" spans="1:13" x14ac:dyDescent="0.2">
      <c r="A146" s="6" t="str">
        <f>VLOOKUP(J146,[1]Clientes!$C:$H,6,0)</f>
        <v>CBA</v>
      </c>
      <c r="B146" s="7">
        <f t="shared" si="3"/>
        <v>45205</v>
      </c>
      <c r="C146" s="1" t="s">
        <v>298</v>
      </c>
      <c r="D146" s="1" t="s">
        <v>183</v>
      </c>
      <c r="E146" s="1" t="s">
        <v>184</v>
      </c>
      <c r="F146" s="4">
        <v>45205.352777777778</v>
      </c>
      <c r="G146" s="4">
        <v>45205.352777777778</v>
      </c>
      <c r="H146" s="1" t="s">
        <v>21</v>
      </c>
      <c r="I146" s="1" t="s">
        <v>22</v>
      </c>
      <c r="J146" s="1" t="s">
        <v>69</v>
      </c>
      <c r="L146" s="2">
        <v>3421.86</v>
      </c>
      <c r="M146" s="1" t="s">
        <v>0</v>
      </c>
    </row>
    <row r="147" spans="1:13" x14ac:dyDescent="0.2">
      <c r="A147" s="6" t="str">
        <f>VLOOKUP(J147,[1]Clientes!$C:$H,6,0)</f>
        <v>CBA</v>
      </c>
      <c r="B147" s="7">
        <f t="shared" si="3"/>
        <v>45205</v>
      </c>
      <c r="C147" s="1" t="s">
        <v>299</v>
      </c>
      <c r="D147" s="1" t="s">
        <v>183</v>
      </c>
      <c r="E147" s="1" t="s">
        <v>184</v>
      </c>
      <c r="F147" s="4">
        <v>45205.390972222223</v>
      </c>
      <c r="G147" s="4">
        <v>45205.390972222223</v>
      </c>
      <c r="H147" s="1" t="s">
        <v>21</v>
      </c>
      <c r="I147" s="1" t="s">
        <v>22</v>
      </c>
      <c r="J147" s="1" t="s">
        <v>69</v>
      </c>
      <c r="L147" s="2">
        <v>1537.8</v>
      </c>
      <c r="M147" s="1" t="s">
        <v>0</v>
      </c>
    </row>
    <row r="148" spans="1:13" x14ac:dyDescent="0.2">
      <c r="A148" s="6" t="str">
        <f>VLOOKUP(J148,[1]Clientes!$C:$H,6,0)</f>
        <v>VERDE FORTE</v>
      </c>
      <c r="B148" s="7">
        <f t="shared" si="3"/>
        <v>45205</v>
      </c>
      <c r="C148" s="1" t="s">
        <v>300</v>
      </c>
      <c r="D148" s="1" t="s">
        <v>183</v>
      </c>
      <c r="E148" s="1" t="s">
        <v>184</v>
      </c>
      <c r="F148" s="4">
        <v>45205.402777777781</v>
      </c>
      <c r="G148" s="4">
        <v>45205.402777777781</v>
      </c>
      <c r="H148" s="1" t="s">
        <v>21</v>
      </c>
      <c r="I148" s="1" t="s">
        <v>22</v>
      </c>
      <c r="J148" s="1" t="s">
        <v>27</v>
      </c>
      <c r="L148" s="2">
        <v>369.68</v>
      </c>
      <c r="M148" s="1" t="s">
        <v>2</v>
      </c>
    </row>
    <row r="149" spans="1:13" x14ac:dyDescent="0.2">
      <c r="A149" s="6" t="str">
        <f>VLOOKUP(J149,[1]Clientes!$C:$H,6,0)</f>
        <v>CBA</v>
      </c>
      <c r="B149" s="7">
        <f t="shared" si="3"/>
        <v>45205</v>
      </c>
      <c r="C149" s="1" t="s">
        <v>301</v>
      </c>
      <c r="D149" s="1" t="s">
        <v>183</v>
      </c>
      <c r="E149" s="1" t="s">
        <v>184</v>
      </c>
      <c r="F149" s="4">
        <v>45205.462500000001</v>
      </c>
      <c r="G149" s="4">
        <v>45205.462500000001</v>
      </c>
      <c r="H149" s="1" t="s">
        <v>21</v>
      </c>
      <c r="I149" s="1" t="s">
        <v>22</v>
      </c>
      <c r="J149" s="1" t="s">
        <v>69</v>
      </c>
      <c r="L149" s="2">
        <v>5543.3</v>
      </c>
      <c r="M149" s="1" t="s">
        <v>0</v>
      </c>
    </row>
    <row r="150" spans="1:13" x14ac:dyDescent="0.2">
      <c r="A150" s="6" t="str">
        <f>VLOOKUP(J150,[1]Clientes!$C:$H,6,0)</f>
        <v>OUTROS</v>
      </c>
      <c r="B150" s="7">
        <f t="shared" si="3"/>
        <v>45205</v>
      </c>
      <c r="C150" s="1" t="s">
        <v>302</v>
      </c>
      <c r="D150" s="1" t="s">
        <v>183</v>
      </c>
      <c r="E150" s="1" t="s">
        <v>184</v>
      </c>
      <c r="F150" s="4">
        <v>45205.468055555553</v>
      </c>
      <c r="G150" s="4">
        <v>45205.468055555553</v>
      </c>
      <c r="H150" s="1" t="s">
        <v>21</v>
      </c>
      <c r="I150" s="1" t="s">
        <v>22</v>
      </c>
      <c r="J150" s="1" t="s">
        <v>303</v>
      </c>
      <c r="L150" s="2">
        <v>2258.77</v>
      </c>
      <c r="M150" s="1" t="s">
        <v>4</v>
      </c>
    </row>
    <row r="151" spans="1:13" x14ac:dyDescent="0.2">
      <c r="A151" s="6" t="str">
        <f>VLOOKUP(J151,[1]Clientes!$C:$H,6,0)</f>
        <v>LANXESS</v>
      </c>
      <c r="B151" s="7">
        <f t="shared" si="3"/>
        <v>45205</v>
      </c>
      <c r="C151" s="1" t="s">
        <v>304</v>
      </c>
      <c r="D151" s="1" t="s">
        <v>183</v>
      </c>
      <c r="E151" s="1" t="s">
        <v>184</v>
      </c>
      <c r="F151" s="4">
        <v>45205.489583333336</v>
      </c>
      <c r="G151" s="4">
        <v>45205.489583333336</v>
      </c>
      <c r="H151" s="1" t="s">
        <v>21</v>
      </c>
      <c r="I151" s="1" t="s">
        <v>22</v>
      </c>
      <c r="J151" s="1" t="s">
        <v>200</v>
      </c>
      <c r="L151" s="2">
        <v>454.55</v>
      </c>
      <c r="M151" s="1" t="s">
        <v>648</v>
      </c>
    </row>
    <row r="152" spans="1:13" x14ac:dyDescent="0.2">
      <c r="A152" s="6" t="str">
        <f>VLOOKUP(J152,[1]Clientes!$C:$H,6,0)</f>
        <v>LANXESS</v>
      </c>
      <c r="B152" s="7">
        <f t="shared" si="3"/>
        <v>45205</v>
      </c>
      <c r="C152" s="1" t="s">
        <v>305</v>
      </c>
      <c r="D152" s="1" t="s">
        <v>183</v>
      </c>
      <c r="E152" s="1" t="s">
        <v>184</v>
      </c>
      <c r="F152" s="4">
        <v>45205.492361111108</v>
      </c>
      <c r="G152" s="4">
        <v>45205.492361111108</v>
      </c>
      <c r="H152" s="1" t="s">
        <v>21</v>
      </c>
      <c r="I152" s="1" t="s">
        <v>22</v>
      </c>
      <c r="J152" s="1" t="s">
        <v>200</v>
      </c>
      <c r="L152" s="2">
        <v>340.91</v>
      </c>
      <c r="M152" s="1" t="s">
        <v>648</v>
      </c>
    </row>
    <row r="153" spans="1:13" x14ac:dyDescent="0.2">
      <c r="A153" s="6" t="str">
        <f>VLOOKUP(J153,[1]Clientes!$C:$H,6,0)</f>
        <v>LANXESS</v>
      </c>
      <c r="B153" s="7">
        <f t="shared" si="3"/>
        <v>45205</v>
      </c>
      <c r="C153" s="1" t="s">
        <v>306</v>
      </c>
      <c r="D153" s="1" t="s">
        <v>183</v>
      </c>
      <c r="E153" s="1" t="s">
        <v>184</v>
      </c>
      <c r="F153" s="4">
        <v>45205.493750000001</v>
      </c>
      <c r="G153" s="4">
        <v>45205.493750000001</v>
      </c>
      <c r="H153" s="1" t="s">
        <v>21</v>
      </c>
      <c r="I153" s="1" t="s">
        <v>22</v>
      </c>
      <c r="J153" s="1" t="s">
        <v>200</v>
      </c>
      <c r="L153" s="2">
        <v>340.91</v>
      </c>
      <c r="M153" s="1" t="s">
        <v>648</v>
      </c>
    </row>
    <row r="154" spans="1:13" x14ac:dyDescent="0.2">
      <c r="A154" s="6" t="str">
        <f>VLOOKUP(J154,[1]Clientes!$C:$H,6,0)</f>
        <v>LANXESS</v>
      </c>
      <c r="B154" s="7">
        <f t="shared" si="3"/>
        <v>45205</v>
      </c>
      <c r="C154" s="1" t="s">
        <v>307</v>
      </c>
      <c r="D154" s="1" t="s">
        <v>183</v>
      </c>
      <c r="E154" s="1" t="s">
        <v>184</v>
      </c>
      <c r="F154" s="4">
        <v>45205.49722222222</v>
      </c>
      <c r="G154" s="4">
        <v>45205.49722222222</v>
      </c>
      <c r="H154" s="1" t="s">
        <v>21</v>
      </c>
      <c r="I154" s="1" t="s">
        <v>22</v>
      </c>
      <c r="J154" s="1" t="s">
        <v>200</v>
      </c>
      <c r="L154" s="2">
        <v>340.91</v>
      </c>
      <c r="M154" s="1" t="s">
        <v>648</v>
      </c>
    </row>
    <row r="155" spans="1:13" x14ac:dyDescent="0.2">
      <c r="A155" s="6" t="s">
        <v>1</v>
      </c>
      <c r="B155" s="7">
        <f t="shared" si="3"/>
        <v>45205</v>
      </c>
      <c r="C155" s="1" t="s">
        <v>65</v>
      </c>
      <c r="D155" s="1" t="s">
        <v>19</v>
      </c>
      <c r="E155" s="1" t="s">
        <v>20</v>
      </c>
      <c r="F155" s="4">
        <v>45205.525000000001</v>
      </c>
      <c r="G155" s="4">
        <v>45205.525000000001</v>
      </c>
      <c r="H155" s="1" t="s">
        <v>21</v>
      </c>
      <c r="I155" s="1" t="s">
        <v>22</v>
      </c>
      <c r="J155" s="1" t="s">
        <v>25</v>
      </c>
      <c r="L155" s="2">
        <v>1425.81</v>
      </c>
      <c r="M155" s="1" t="s">
        <v>1</v>
      </c>
    </row>
    <row r="156" spans="1:13" x14ac:dyDescent="0.2">
      <c r="A156" s="6" t="str">
        <f>VLOOKUP(J156,[1]Clientes!$C:$H,6,0)</f>
        <v>LANXESS</v>
      </c>
      <c r="B156" s="7">
        <f t="shared" si="3"/>
        <v>45205</v>
      </c>
      <c r="C156" s="1" t="s">
        <v>308</v>
      </c>
      <c r="D156" s="1" t="s">
        <v>183</v>
      </c>
      <c r="E156" s="1" t="s">
        <v>184</v>
      </c>
      <c r="F156" s="4">
        <v>45205.556250000001</v>
      </c>
      <c r="G156" s="4">
        <v>45205.556250000001</v>
      </c>
      <c r="H156" s="1" t="s">
        <v>21</v>
      </c>
      <c r="I156" s="1" t="s">
        <v>22</v>
      </c>
      <c r="J156" s="1" t="s">
        <v>200</v>
      </c>
      <c r="L156" s="2">
        <v>1244.3499999999999</v>
      </c>
      <c r="M156" s="1" t="s">
        <v>648</v>
      </c>
    </row>
    <row r="157" spans="1:13" x14ac:dyDescent="0.2">
      <c r="A157" s="6" t="str">
        <f>VLOOKUP(J157,[1]Clientes!$C:$H,6,0)</f>
        <v>CBA</v>
      </c>
      <c r="B157" s="7">
        <f t="shared" si="3"/>
        <v>45205</v>
      </c>
      <c r="C157" s="1" t="s">
        <v>309</v>
      </c>
      <c r="D157" s="1" t="s">
        <v>183</v>
      </c>
      <c r="E157" s="1" t="s">
        <v>184</v>
      </c>
      <c r="F157" s="4">
        <v>45205.559027777781</v>
      </c>
      <c r="G157" s="4">
        <v>45205.559027777781</v>
      </c>
      <c r="H157" s="1" t="s">
        <v>21</v>
      </c>
      <c r="I157" s="1" t="s">
        <v>22</v>
      </c>
      <c r="J157" s="1" t="s">
        <v>210</v>
      </c>
      <c r="L157" s="2">
        <v>3457.1</v>
      </c>
      <c r="M157" s="1" t="s">
        <v>0</v>
      </c>
    </row>
    <row r="158" spans="1:13" x14ac:dyDescent="0.2">
      <c r="A158" s="6" t="str">
        <f>VLOOKUP(J158,[1]Clientes!$C:$H,6,0)</f>
        <v>CBA</v>
      </c>
      <c r="B158" s="7">
        <f t="shared" si="3"/>
        <v>45205</v>
      </c>
      <c r="C158" s="1" t="s">
        <v>310</v>
      </c>
      <c r="D158" s="1" t="s">
        <v>183</v>
      </c>
      <c r="E158" s="1" t="s">
        <v>184</v>
      </c>
      <c r="F158" s="4">
        <v>45205.561111111114</v>
      </c>
      <c r="G158" s="4">
        <v>45205.561111111114</v>
      </c>
      <c r="H158" s="1" t="s">
        <v>21</v>
      </c>
      <c r="I158" s="1" t="s">
        <v>22</v>
      </c>
      <c r="J158" s="1" t="s">
        <v>210</v>
      </c>
      <c r="L158" s="2">
        <v>3455.35</v>
      </c>
      <c r="M158" s="1" t="s">
        <v>0</v>
      </c>
    </row>
    <row r="159" spans="1:13" x14ac:dyDescent="0.2">
      <c r="A159" s="6" t="str">
        <f>VLOOKUP(J159,[1]Clientes!$C:$H,6,0)</f>
        <v>CBA</v>
      </c>
      <c r="B159" s="7">
        <f t="shared" si="3"/>
        <v>45205</v>
      </c>
      <c r="C159" s="1" t="s">
        <v>311</v>
      </c>
      <c r="D159" s="1" t="s">
        <v>183</v>
      </c>
      <c r="E159" s="1" t="s">
        <v>184</v>
      </c>
      <c r="F159" s="4">
        <v>45205.563888888886</v>
      </c>
      <c r="G159" s="4">
        <v>45205.563888888886</v>
      </c>
      <c r="H159" s="1" t="s">
        <v>21</v>
      </c>
      <c r="I159" s="1" t="s">
        <v>22</v>
      </c>
      <c r="J159" s="1" t="s">
        <v>210</v>
      </c>
      <c r="L159" s="2">
        <v>3458.2</v>
      </c>
      <c r="M159" s="1" t="s">
        <v>0</v>
      </c>
    </row>
    <row r="160" spans="1:13" x14ac:dyDescent="0.2">
      <c r="A160" s="6" t="str">
        <f>VLOOKUP(J160,[1]Clientes!$C:$H,6,0)</f>
        <v>CBA</v>
      </c>
      <c r="B160" s="7">
        <f t="shared" si="3"/>
        <v>45205</v>
      </c>
      <c r="C160" s="1" t="s">
        <v>312</v>
      </c>
      <c r="D160" s="1" t="s">
        <v>183</v>
      </c>
      <c r="E160" s="1" t="s">
        <v>184</v>
      </c>
      <c r="F160" s="4">
        <v>45205.565972222219</v>
      </c>
      <c r="G160" s="4">
        <v>45205.565972222219</v>
      </c>
      <c r="H160" s="1" t="s">
        <v>21</v>
      </c>
      <c r="I160" s="1" t="s">
        <v>22</v>
      </c>
      <c r="J160" s="1" t="s">
        <v>210</v>
      </c>
      <c r="L160" s="2">
        <v>3458.47</v>
      </c>
      <c r="M160" s="1" t="s">
        <v>0</v>
      </c>
    </row>
    <row r="161" spans="1:13" x14ac:dyDescent="0.2">
      <c r="A161" s="6" t="str">
        <f>VLOOKUP(J161,[1]Clientes!$C:$H,6,0)</f>
        <v>CBA</v>
      </c>
      <c r="B161" s="7">
        <f t="shared" si="3"/>
        <v>45205</v>
      </c>
      <c r="C161" s="1" t="s">
        <v>313</v>
      </c>
      <c r="D161" s="1" t="s">
        <v>183</v>
      </c>
      <c r="E161" s="1" t="s">
        <v>184</v>
      </c>
      <c r="F161" s="4">
        <v>45205.568055555559</v>
      </c>
      <c r="G161" s="4">
        <v>45205.568055555559</v>
      </c>
      <c r="H161" s="1" t="s">
        <v>21</v>
      </c>
      <c r="I161" s="1" t="s">
        <v>22</v>
      </c>
      <c r="J161" s="1" t="s">
        <v>210</v>
      </c>
      <c r="L161" s="2">
        <v>3457.84</v>
      </c>
      <c r="M161" s="1" t="s">
        <v>0</v>
      </c>
    </row>
    <row r="162" spans="1:13" x14ac:dyDescent="0.2">
      <c r="A162" s="6" t="str">
        <f>VLOOKUP(J162,[1]Clientes!$C:$H,6,0)</f>
        <v>IMERYS</v>
      </c>
      <c r="B162" s="7">
        <f t="shared" si="3"/>
        <v>45205</v>
      </c>
      <c r="C162" s="1" t="s">
        <v>314</v>
      </c>
      <c r="D162" s="1" t="s">
        <v>183</v>
      </c>
      <c r="E162" s="1" t="s">
        <v>184</v>
      </c>
      <c r="F162" s="4">
        <v>45205.61041666667</v>
      </c>
      <c r="G162" s="4">
        <v>45205.61041666667</v>
      </c>
      <c r="H162" s="1" t="s">
        <v>21</v>
      </c>
      <c r="I162" s="1" t="s">
        <v>22</v>
      </c>
      <c r="J162" s="1" t="s">
        <v>188</v>
      </c>
      <c r="L162" s="2">
        <v>1150.0999999999999</v>
      </c>
      <c r="M162" s="1" t="s">
        <v>6</v>
      </c>
    </row>
    <row r="163" spans="1:13" x14ac:dyDescent="0.2">
      <c r="A163" s="6" t="str">
        <f>VLOOKUP(J163,[1]Clientes!$C:$H,6,0)</f>
        <v>UNIPAR</v>
      </c>
      <c r="B163" s="7">
        <f t="shared" si="3"/>
        <v>45205</v>
      </c>
      <c r="C163" s="1" t="s">
        <v>315</v>
      </c>
      <c r="D163" s="1" t="s">
        <v>183</v>
      </c>
      <c r="E163" s="1" t="s">
        <v>184</v>
      </c>
      <c r="F163" s="4">
        <v>45205.616666666669</v>
      </c>
      <c r="G163" s="4">
        <v>45205.616666666669</v>
      </c>
      <c r="H163" s="1" t="s">
        <v>21</v>
      </c>
      <c r="I163" s="1" t="s">
        <v>22</v>
      </c>
      <c r="J163" s="1" t="s">
        <v>63</v>
      </c>
      <c r="L163" s="2">
        <v>9925.14</v>
      </c>
      <c r="M163" s="1" t="s">
        <v>647</v>
      </c>
    </row>
    <row r="164" spans="1:13" x14ac:dyDescent="0.2">
      <c r="A164" s="6" t="str">
        <f>VLOOKUP(J164,[1]Clientes!$C:$H,6,0)</f>
        <v>CBA</v>
      </c>
      <c r="B164" s="7">
        <f t="shared" si="3"/>
        <v>45205</v>
      </c>
      <c r="C164" s="1" t="s">
        <v>316</v>
      </c>
      <c r="D164" s="1" t="s">
        <v>183</v>
      </c>
      <c r="E164" s="1" t="s">
        <v>184</v>
      </c>
      <c r="F164" s="4">
        <v>45205.631944444445</v>
      </c>
      <c r="G164" s="4">
        <v>45205.631944444445</v>
      </c>
      <c r="H164" s="1" t="s">
        <v>21</v>
      </c>
      <c r="I164" s="1" t="s">
        <v>22</v>
      </c>
      <c r="J164" s="1" t="s">
        <v>69</v>
      </c>
      <c r="L164" s="2">
        <v>1575.83</v>
      </c>
      <c r="M164" s="1" t="s">
        <v>0</v>
      </c>
    </row>
    <row r="165" spans="1:13" x14ac:dyDescent="0.2">
      <c r="A165" s="6" t="str">
        <f>VLOOKUP(J165,[1]Clientes!$C:$H,6,0)</f>
        <v>LANXESS</v>
      </c>
      <c r="B165" s="7">
        <f t="shared" si="3"/>
        <v>45205</v>
      </c>
      <c r="C165" s="1" t="s">
        <v>317</v>
      </c>
      <c r="D165" s="1" t="s">
        <v>183</v>
      </c>
      <c r="E165" s="1" t="s">
        <v>184</v>
      </c>
      <c r="F165" s="4">
        <v>45205.638888888891</v>
      </c>
      <c r="G165" s="4">
        <v>45205.638888888891</v>
      </c>
      <c r="H165" s="1" t="s">
        <v>21</v>
      </c>
      <c r="I165" s="1" t="s">
        <v>22</v>
      </c>
      <c r="J165" s="1" t="s">
        <v>202</v>
      </c>
      <c r="L165" s="2">
        <v>1643.59</v>
      </c>
      <c r="M165" s="1" t="s">
        <v>648</v>
      </c>
    </row>
    <row r="166" spans="1:13" x14ac:dyDescent="0.2">
      <c r="A166" s="6" t="str">
        <f>VLOOKUP(J166,[1]Clientes!$C:$H,6,0)</f>
        <v>IMERYS</v>
      </c>
      <c r="B166" s="7">
        <f t="shared" si="3"/>
        <v>45205</v>
      </c>
      <c r="C166" s="1" t="s">
        <v>318</v>
      </c>
      <c r="D166" s="1" t="s">
        <v>183</v>
      </c>
      <c r="E166" s="1" t="s">
        <v>184</v>
      </c>
      <c r="F166" s="4">
        <v>45205.662499999999</v>
      </c>
      <c r="G166" s="4">
        <v>45205.662499999999</v>
      </c>
      <c r="H166" s="1" t="s">
        <v>21</v>
      </c>
      <c r="I166" s="1" t="s">
        <v>22</v>
      </c>
      <c r="J166" s="1" t="s">
        <v>188</v>
      </c>
      <c r="L166" s="2">
        <v>1077.95</v>
      </c>
      <c r="M166" s="1" t="s">
        <v>6</v>
      </c>
    </row>
    <row r="167" spans="1:13" x14ac:dyDescent="0.2">
      <c r="A167" s="6" t="str">
        <f>VLOOKUP(J167,[1]Clientes!$C:$H,6,0)</f>
        <v>CBA</v>
      </c>
      <c r="B167" s="7">
        <f t="shared" si="3"/>
        <v>45205</v>
      </c>
      <c r="C167" s="1" t="s">
        <v>319</v>
      </c>
      <c r="D167" s="1" t="s">
        <v>183</v>
      </c>
      <c r="E167" s="1" t="s">
        <v>184</v>
      </c>
      <c r="F167" s="4">
        <v>45205.682638888888</v>
      </c>
      <c r="G167" s="4">
        <v>45205.682638888888</v>
      </c>
      <c r="H167" s="1" t="s">
        <v>21</v>
      </c>
      <c r="I167" s="1" t="s">
        <v>22</v>
      </c>
      <c r="J167" s="1" t="s">
        <v>69</v>
      </c>
      <c r="L167" s="2">
        <v>2791.62</v>
      </c>
      <c r="M167" s="1" t="s">
        <v>0</v>
      </c>
    </row>
    <row r="168" spans="1:13" x14ac:dyDescent="0.2">
      <c r="A168" s="6" t="str">
        <f>VLOOKUP(J168,[1]Clientes!$C:$H,6,0)</f>
        <v>IMERYS</v>
      </c>
      <c r="B168" s="7">
        <f t="shared" si="3"/>
        <v>45205</v>
      </c>
      <c r="C168" s="1" t="s">
        <v>320</v>
      </c>
      <c r="D168" s="1" t="s">
        <v>183</v>
      </c>
      <c r="E168" s="1" t="s">
        <v>184</v>
      </c>
      <c r="F168" s="4">
        <v>45205.685416666667</v>
      </c>
      <c r="G168" s="4">
        <v>45205.685416666667</v>
      </c>
      <c r="H168" s="1" t="s">
        <v>21</v>
      </c>
      <c r="I168" s="1" t="s">
        <v>22</v>
      </c>
      <c r="J168" s="1" t="s">
        <v>188</v>
      </c>
      <c r="L168" s="2">
        <v>894.39</v>
      </c>
      <c r="M168" s="1" t="s">
        <v>6</v>
      </c>
    </row>
    <row r="169" spans="1:13" x14ac:dyDescent="0.2">
      <c r="A169" s="6" t="str">
        <f>VLOOKUP(J169,[1]Clientes!$C:$H,6,0)</f>
        <v>CBA</v>
      </c>
      <c r="B169" s="7">
        <f t="shared" si="3"/>
        <v>45205</v>
      </c>
      <c r="C169" s="1" t="s">
        <v>321</v>
      </c>
      <c r="D169" s="1" t="s">
        <v>183</v>
      </c>
      <c r="E169" s="1" t="s">
        <v>184</v>
      </c>
      <c r="F169" s="4">
        <v>45205.6875</v>
      </c>
      <c r="G169" s="4">
        <v>45205.6875</v>
      </c>
      <c r="H169" s="1" t="s">
        <v>21</v>
      </c>
      <c r="I169" s="1" t="s">
        <v>22</v>
      </c>
      <c r="J169" s="1" t="s">
        <v>69</v>
      </c>
      <c r="L169" s="2">
        <v>2788.02</v>
      </c>
      <c r="M169" s="1" t="s">
        <v>0</v>
      </c>
    </row>
    <row r="170" spans="1:13" x14ac:dyDescent="0.2">
      <c r="A170" s="6" t="s">
        <v>1</v>
      </c>
      <c r="B170" s="7">
        <f t="shared" si="3"/>
        <v>45205</v>
      </c>
      <c r="C170" s="1" t="s">
        <v>66</v>
      </c>
      <c r="D170" s="1" t="s">
        <v>19</v>
      </c>
      <c r="E170" s="1" t="s">
        <v>20</v>
      </c>
      <c r="F170" s="4">
        <v>45205.704861111109</v>
      </c>
      <c r="G170" s="4">
        <v>45205.704861111109</v>
      </c>
      <c r="H170" s="1" t="s">
        <v>21</v>
      </c>
      <c r="I170" s="1" t="s">
        <v>22</v>
      </c>
      <c r="J170" s="1" t="s">
        <v>25</v>
      </c>
      <c r="L170" s="2">
        <v>1416.81</v>
      </c>
      <c r="M170" s="1" t="s">
        <v>1</v>
      </c>
    </row>
    <row r="171" spans="1:13" x14ac:dyDescent="0.2">
      <c r="A171" s="6" t="str">
        <f>VLOOKUP(J171,[1]Clientes!$C:$H,6,0)</f>
        <v>CBA</v>
      </c>
      <c r="B171" s="7">
        <f t="shared" si="3"/>
        <v>45205</v>
      </c>
      <c r="C171" s="1" t="s">
        <v>322</v>
      </c>
      <c r="D171" s="1" t="s">
        <v>183</v>
      </c>
      <c r="E171" s="1" t="s">
        <v>184</v>
      </c>
      <c r="F171" s="4">
        <v>45205.722916666666</v>
      </c>
      <c r="G171" s="4">
        <v>45205.722916666666</v>
      </c>
      <c r="H171" s="1" t="s">
        <v>21</v>
      </c>
      <c r="I171" s="1" t="s">
        <v>22</v>
      </c>
      <c r="J171" s="1" t="s">
        <v>69</v>
      </c>
      <c r="L171" s="2">
        <v>3359.14</v>
      </c>
      <c r="M171" s="1" t="s">
        <v>0</v>
      </c>
    </row>
    <row r="172" spans="1:13" x14ac:dyDescent="0.2">
      <c r="A172" s="6" t="str">
        <f>VLOOKUP(J172,[1]Clientes!$C:$H,6,0)</f>
        <v>CBA</v>
      </c>
      <c r="B172" s="7">
        <f t="shared" si="3"/>
        <v>45205</v>
      </c>
      <c r="C172" s="1" t="s">
        <v>323</v>
      </c>
      <c r="D172" s="1" t="s">
        <v>183</v>
      </c>
      <c r="E172" s="1" t="s">
        <v>184</v>
      </c>
      <c r="F172" s="4">
        <v>45205.740972222222</v>
      </c>
      <c r="G172" s="4">
        <v>45205.740972222222</v>
      </c>
      <c r="H172" s="1" t="s">
        <v>21</v>
      </c>
      <c r="I172" s="1" t="s">
        <v>22</v>
      </c>
      <c r="J172" s="1" t="s">
        <v>69</v>
      </c>
      <c r="L172" s="2">
        <v>2646.33</v>
      </c>
      <c r="M172" s="1" t="s">
        <v>0</v>
      </c>
    </row>
    <row r="173" spans="1:13" x14ac:dyDescent="0.2">
      <c r="A173" s="6" t="str">
        <f>VLOOKUP(J173,[1]Clientes!$C:$H,6,0)</f>
        <v>IMERYS</v>
      </c>
      <c r="B173" s="7">
        <f t="shared" si="3"/>
        <v>45205</v>
      </c>
      <c r="C173" s="1" t="s">
        <v>324</v>
      </c>
      <c r="D173" s="1" t="s">
        <v>183</v>
      </c>
      <c r="E173" s="1" t="s">
        <v>184</v>
      </c>
      <c r="F173" s="4">
        <v>45205.754166666666</v>
      </c>
      <c r="G173" s="4">
        <v>45205.754166666666</v>
      </c>
      <c r="H173" s="1" t="s">
        <v>21</v>
      </c>
      <c r="I173" s="1" t="s">
        <v>22</v>
      </c>
      <c r="J173" s="1" t="s">
        <v>188</v>
      </c>
      <c r="L173" s="2">
        <v>899.4</v>
      </c>
      <c r="M173" s="1" t="s">
        <v>6</v>
      </c>
    </row>
    <row r="174" spans="1:13" x14ac:dyDescent="0.2">
      <c r="A174" s="6" t="str">
        <f>VLOOKUP(J174,[1]Clientes!$C:$H,6,0)</f>
        <v>CBA</v>
      </c>
      <c r="B174" s="7">
        <f t="shared" si="3"/>
        <v>45205</v>
      </c>
      <c r="C174" s="1" t="s">
        <v>325</v>
      </c>
      <c r="D174" s="1" t="s">
        <v>183</v>
      </c>
      <c r="E174" s="1" t="s">
        <v>184</v>
      </c>
      <c r="F174" s="4">
        <v>45205.777777777781</v>
      </c>
      <c r="G174" s="4">
        <v>45205.777777777781</v>
      </c>
      <c r="H174" s="1" t="s">
        <v>21</v>
      </c>
      <c r="I174" s="1" t="s">
        <v>22</v>
      </c>
      <c r="J174" s="1" t="s">
        <v>69</v>
      </c>
      <c r="L174" s="2">
        <v>5542.94</v>
      </c>
      <c r="M174" s="1" t="s">
        <v>0</v>
      </c>
    </row>
    <row r="175" spans="1:13" x14ac:dyDescent="0.2">
      <c r="A175" s="6" t="str">
        <f>VLOOKUP(J175,[1]Clientes!$C:$H,6,0)</f>
        <v>CBA</v>
      </c>
      <c r="B175" s="7">
        <f t="shared" si="3"/>
        <v>45205</v>
      </c>
      <c r="C175" s="1" t="s">
        <v>326</v>
      </c>
      <c r="D175" s="1" t="s">
        <v>183</v>
      </c>
      <c r="E175" s="1" t="s">
        <v>184</v>
      </c>
      <c r="F175" s="4">
        <v>45205.779861111114</v>
      </c>
      <c r="G175" s="4">
        <v>45205.779861111114</v>
      </c>
      <c r="H175" s="1" t="s">
        <v>21</v>
      </c>
      <c r="I175" s="1" t="s">
        <v>22</v>
      </c>
      <c r="J175" s="1" t="s">
        <v>69</v>
      </c>
      <c r="L175" s="2">
        <v>3355.52</v>
      </c>
      <c r="M175" s="1" t="s">
        <v>0</v>
      </c>
    </row>
    <row r="176" spans="1:13" x14ac:dyDescent="0.2">
      <c r="A176" s="6" t="str">
        <f>VLOOKUP(J176,[1]Clientes!$C:$H,6,0)</f>
        <v>LANXESS</v>
      </c>
      <c r="B176" s="7">
        <f t="shared" si="3"/>
        <v>45205</v>
      </c>
      <c r="C176" s="1" t="s">
        <v>327</v>
      </c>
      <c r="D176" s="1" t="s">
        <v>183</v>
      </c>
      <c r="E176" s="1" t="s">
        <v>184</v>
      </c>
      <c r="F176" s="4">
        <v>45205.78125</v>
      </c>
      <c r="G176" s="4">
        <v>45205.78125</v>
      </c>
      <c r="H176" s="1" t="s">
        <v>21</v>
      </c>
      <c r="I176" s="1" t="s">
        <v>22</v>
      </c>
      <c r="J176" s="1" t="s">
        <v>200</v>
      </c>
      <c r="L176" s="2">
        <v>777.17</v>
      </c>
      <c r="M176" s="1" t="s">
        <v>648</v>
      </c>
    </row>
    <row r="177" spans="1:13" x14ac:dyDescent="0.2">
      <c r="A177" s="6" t="str">
        <f>VLOOKUP(J177,[1]Clientes!$C:$H,6,0)</f>
        <v>CBA</v>
      </c>
      <c r="B177" s="7">
        <f t="shared" si="3"/>
        <v>45205</v>
      </c>
      <c r="C177" s="1" t="s">
        <v>328</v>
      </c>
      <c r="D177" s="1" t="s">
        <v>183</v>
      </c>
      <c r="E177" s="1" t="s">
        <v>184</v>
      </c>
      <c r="F177" s="4">
        <v>45205.785416666666</v>
      </c>
      <c r="G177" s="4">
        <v>45205.785416666666</v>
      </c>
      <c r="H177" s="1" t="s">
        <v>21</v>
      </c>
      <c r="I177" s="1" t="s">
        <v>22</v>
      </c>
      <c r="J177" s="1" t="s">
        <v>69</v>
      </c>
      <c r="L177" s="2">
        <v>2661.99</v>
      </c>
      <c r="M177" s="1" t="s">
        <v>0</v>
      </c>
    </row>
    <row r="178" spans="1:13" x14ac:dyDescent="0.2">
      <c r="A178" s="6" t="s">
        <v>5</v>
      </c>
      <c r="B178" s="7">
        <f t="shared" si="3"/>
        <v>45205</v>
      </c>
      <c r="C178" s="1" t="s">
        <v>329</v>
      </c>
      <c r="D178" s="1" t="s">
        <v>183</v>
      </c>
      <c r="E178" s="1" t="s">
        <v>184</v>
      </c>
      <c r="F178" s="4">
        <v>45205.813888888886</v>
      </c>
      <c r="G178" s="4">
        <v>45205.813888888886</v>
      </c>
      <c r="H178" s="1" t="s">
        <v>21</v>
      </c>
      <c r="I178" s="1" t="s">
        <v>22</v>
      </c>
      <c r="J178" s="1" t="s">
        <v>330</v>
      </c>
      <c r="L178" s="2">
        <v>11933.3</v>
      </c>
      <c r="M178" s="1" t="s">
        <v>5</v>
      </c>
    </row>
    <row r="179" spans="1:13" x14ac:dyDescent="0.2">
      <c r="A179" s="6" t="str">
        <f>VLOOKUP(J179,[1]Clientes!$C:$H,6,0)</f>
        <v>IMERYS</v>
      </c>
      <c r="B179" s="7">
        <f t="shared" si="3"/>
        <v>45205</v>
      </c>
      <c r="C179" s="1" t="s">
        <v>331</v>
      </c>
      <c r="D179" s="1" t="s">
        <v>183</v>
      </c>
      <c r="E179" s="1" t="s">
        <v>184</v>
      </c>
      <c r="F179" s="4">
        <v>45205.839583333334</v>
      </c>
      <c r="G179" s="4">
        <v>45205.839583333334</v>
      </c>
      <c r="H179" s="1" t="s">
        <v>21</v>
      </c>
      <c r="I179" s="1" t="s">
        <v>22</v>
      </c>
      <c r="J179" s="1" t="s">
        <v>188</v>
      </c>
      <c r="L179" s="2">
        <v>754.15</v>
      </c>
      <c r="M179" s="1" t="s">
        <v>6</v>
      </c>
    </row>
    <row r="180" spans="1:13" x14ac:dyDescent="0.2">
      <c r="A180" s="6" t="str">
        <f>VLOOKUP(J180,[1]Clientes!$C:$H,6,0)</f>
        <v>CBA</v>
      </c>
      <c r="B180" s="7">
        <f t="shared" si="3"/>
        <v>45205</v>
      </c>
      <c r="C180" s="1" t="s">
        <v>332</v>
      </c>
      <c r="D180" s="1" t="s">
        <v>183</v>
      </c>
      <c r="E180" s="1" t="s">
        <v>184</v>
      </c>
      <c r="F180" s="4">
        <v>45205.865972222222</v>
      </c>
      <c r="G180" s="4">
        <v>45205.865972222222</v>
      </c>
      <c r="H180" s="1" t="s">
        <v>21</v>
      </c>
      <c r="I180" s="1" t="s">
        <v>22</v>
      </c>
      <c r="J180" s="1" t="s">
        <v>69</v>
      </c>
      <c r="L180" s="2">
        <v>2790.45</v>
      </c>
      <c r="M180" s="1" t="s">
        <v>0</v>
      </c>
    </row>
    <row r="181" spans="1:13" x14ac:dyDescent="0.2">
      <c r="A181" s="6" t="str">
        <f>VLOOKUP(J181,[1]Clientes!$C:$H,6,0)</f>
        <v>CBA</v>
      </c>
      <c r="B181" s="7">
        <f t="shared" si="3"/>
        <v>45205</v>
      </c>
      <c r="C181" s="1" t="s">
        <v>333</v>
      </c>
      <c r="D181" s="1" t="s">
        <v>183</v>
      </c>
      <c r="E181" s="1" t="s">
        <v>184</v>
      </c>
      <c r="F181" s="4">
        <v>45205.868055555555</v>
      </c>
      <c r="G181" s="4">
        <v>45205.868055555555</v>
      </c>
      <c r="H181" s="1" t="s">
        <v>21</v>
      </c>
      <c r="I181" s="1" t="s">
        <v>22</v>
      </c>
      <c r="J181" s="1" t="s">
        <v>69</v>
      </c>
      <c r="L181" s="2">
        <v>2791.62</v>
      </c>
      <c r="M181" s="1" t="s">
        <v>0</v>
      </c>
    </row>
    <row r="182" spans="1:13" x14ac:dyDescent="0.2">
      <c r="A182" s="6" t="s">
        <v>1</v>
      </c>
      <c r="B182" s="7">
        <f t="shared" si="3"/>
        <v>45205</v>
      </c>
      <c r="C182" s="1" t="s">
        <v>67</v>
      </c>
      <c r="D182" s="1" t="s">
        <v>19</v>
      </c>
      <c r="E182" s="1" t="s">
        <v>20</v>
      </c>
      <c r="F182" s="4">
        <v>45205.893750000003</v>
      </c>
      <c r="G182" s="4">
        <v>45205.893750000003</v>
      </c>
      <c r="H182" s="1" t="s">
        <v>21</v>
      </c>
      <c r="I182" s="1" t="s">
        <v>22</v>
      </c>
      <c r="J182" s="1" t="s">
        <v>25</v>
      </c>
      <c r="L182" s="2">
        <v>1953.5</v>
      </c>
      <c r="M182" s="1" t="s">
        <v>1</v>
      </c>
    </row>
    <row r="183" spans="1:13" x14ac:dyDescent="0.2">
      <c r="A183" s="6" t="str">
        <f>VLOOKUP(J183,[1]Clientes!$C:$H,6,0)</f>
        <v>CBA</v>
      </c>
      <c r="B183" s="7">
        <f t="shared" si="3"/>
        <v>45205</v>
      </c>
      <c r="C183" s="1" t="s">
        <v>334</v>
      </c>
      <c r="D183" s="1" t="s">
        <v>183</v>
      </c>
      <c r="E183" s="1" t="s">
        <v>184</v>
      </c>
      <c r="F183" s="4">
        <v>45205.912499999999</v>
      </c>
      <c r="G183" s="4">
        <v>45205.912499999999</v>
      </c>
      <c r="H183" s="1" t="s">
        <v>21</v>
      </c>
      <c r="I183" s="1" t="s">
        <v>22</v>
      </c>
      <c r="J183" s="1" t="s">
        <v>69</v>
      </c>
      <c r="L183" s="2">
        <v>2788.13</v>
      </c>
      <c r="M183" s="1" t="s">
        <v>0</v>
      </c>
    </row>
    <row r="184" spans="1:13" x14ac:dyDescent="0.2">
      <c r="A184" s="6" t="str">
        <f>VLOOKUP(J184,[1]Clientes!$C:$H,6,0)</f>
        <v>UNIPAR</v>
      </c>
      <c r="B184" s="7">
        <f t="shared" si="3"/>
        <v>45205</v>
      </c>
      <c r="C184" s="1" t="s">
        <v>335</v>
      </c>
      <c r="D184" s="1" t="s">
        <v>183</v>
      </c>
      <c r="E184" s="1" t="s">
        <v>184</v>
      </c>
      <c r="F184" s="4">
        <v>45205.945833333331</v>
      </c>
      <c r="G184" s="4">
        <v>45205.945833333331</v>
      </c>
      <c r="H184" s="1" t="s">
        <v>21</v>
      </c>
      <c r="I184" s="1" t="s">
        <v>22</v>
      </c>
      <c r="J184" s="1" t="s">
        <v>63</v>
      </c>
      <c r="L184" s="2">
        <v>3425.27</v>
      </c>
      <c r="M184" s="1" t="s">
        <v>647</v>
      </c>
    </row>
    <row r="185" spans="1:13" x14ac:dyDescent="0.2">
      <c r="A185" s="6" t="str">
        <f>VLOOKUP(J185,[1]Clientes!$C:$H,6,0)</f>
        <v>CBA</v>
      </c>
      <c r="B185" s="7">
        <f t="shared" si="3"/>
        <v>45205</v>
      </c>
      <c r="C185" s="1" t="s">
        <v>68</v>
      </c>
      <c r="D185" s="1" t="s">
        <v>19</v>
      </c>
      <c r="E185" s="1" t="s">
        <v>20</v>
      </c>
      <c r="F185" s="4">
        <v>45205.955555555556</v>
      </c>
      <c r="G185" s="4">
        <v>45205.955555555556</v>
      </c>
      <c r="H185" s="1" t="s">
        <v>21</v>
      </c>
      <c r="I185" s="1" t="s">
        <v>22</v>
      </c>
      <c r="J185" s="1" t="s">
        <v>69</v>
      </c>
      <c r="L185" s="2">
        <v>2721.37</v>
      </c>
      <c r="M185" s="1" t="s">
        <v>0</v>
      </c>
    </row>
    <row r="186" spans="1:13" x14ac:dyDescent="0.2">
      <c r="A186" s="6" t="str">
        <f>VLOOKUP(J186,[1]Clientes!$C:$H,6,0)</f>
        <v>UNIPAR</v>
      </c>
      <c r="B186" s="7">
        <f t="shared" si="3"/>
        <v>45205</v>
      </c>
      <c r="C186" s="1" t="s">
        <v>336</v>
      </c>
      <c r="D186" s="1" t="s">
        <v>183</v>
      </c>
      <c r="E186" s="1" t="s">
        <v>184</v>
      </c>
      <c r="F186" s="4">
        <v>45205.965277777781</v>
      </c>
      <c r="G186" s="4">
        <v>45205.965277777781</v>
      </c>
      <c r="H186" s="1" t="s">
        <v>21</v>
      </c>
      <c r="I186" s="1" t="s">
        <v>22</v>
      </c>
      <c r="J186" s="1" t="s">
        <v>63</v>
      </c>
      <c r="L186" s="2">
        <v>10007.719999999999</v>
      </c>
      <c r="M186" s="1" t="s">
        <v>647</v>
      </c>
    </row>
    <row r="187" spans="1:13" x14ac:dyDescent="0.2">
      <c r="A187" s="6" t="str">
        <f>VLOOKUP(J187,[1]Clientes!$C:$H,6,0)</f>
        <v>UNIPAR</v>
      </c>
      <c r="B187" s="7">
        <f t="shared" si="3"/>
        <v>45205</v>
      </c>
      <c r="C187" s="1" t="s">
        <v>337</v>
      </c>
      <c r="D187" s="1" t="s">
        <v>183</v>
      </c>
      <c r="E187" s="1" t="s">
        <v>184</v>
      </c>
      <c r="F187" s="4">
        <v>45205.990277777775</v>
      </c>
      <c r="G187" s="4">
        <v>45205.990277777775</v>
      </c>
      <c r="H187" s="1" t="s">
        <v>21</v>
      </c>
      <c r="I187" s="1" t="s">
        <v>22</v>
      </c>
      <c r="J187" s="1" t="s">
        <v>63</v>
      </c>
      <c r="L187" s="2">
        <v>5889.01</v>
      </c>
      <c r="M187" s="1" t="s">
        <v>647</v>
      </c>
    </row>
    <row r="188" spans="1:13" x14ac:dyDescent="0.2">
      <c r="A188" s="6" t="str">
        <f>VLOOKUP(J188,[1]Clientes!$C:$H,6,0)</f>
        <v>UNIPAR</v>
      </c>
      <c r="B188" s="7">
        <f t="shared" si="3"/>
        <v>45205</v>
      </c>
      <c r="C188" s="1" t="s">
        <v>338</v>
      </c>
      <c r="D188" s="1" t="s">
        <v>183</v>
      </c>
      <c r="E188" s="1" t="s">
        <v>184</v>
      </c>
      <c r="F188" s="4">
        <v>45205.997916666667</v>
      </c>
      <c r="G188" s="4">
        <v>45205.997916666667</v>
      </c>
      <c r="H188" s="1" t="s">
        <v>21</v>
      </c>
      <c r="I188" s="1" t="s">
        <v>22</v>
      </c>
      <c r="J188" s="1" t="s">
        <v>63</v>
      </c>
      <c r="L188" s="2">
        <v>8219.0300000000007</v>
      </c>
      <c r="M188" s="1" t="s">
        <v>647</v>
      </c>
    </row>
    <row r="189" spans="1:13" x14ac:dyDescent="0.2">
      <c r="A189" s="6" t="s">
        <v>1</v>
      </c>
      <c r="B189" s="7">
        <f t="shared" si="3"/>
        <v>45206</v>
      </c>
      <c r="C189" s="1" t="s">
        <v>70</v>
      </c>
      <c r="D189" s="1" t="s">
        <v>19</v>
      </c>
      <c r="E189" s="1" t="s">
        <v>20</v>
      </c>
      <c r="F189" s="4">
        <v>45206.337500000001</v>
      </c>
      <c r="G189" s="4">
        <v>45206.337500000001</v>
      </c>
      <c r="H189" s="1" t="s">
        <v>21</v>
      </c>
      <c r="I189" s="1" t="s">
        <v>22</v>
      </c>
      <c r="J189" s="1" t="s">
        <v>25</v>
      </c>
      <c r="L189" s="2">
        <v>1953.5</v>
      </c>
      <c r="M189" s="1" t="s">
        <v>1</v>
      </c>
    </row>
    <row r="190" spans="1:13" x14ac:dyDescent="0.2">
      <c r="A190" s="6" t="str">
        <f>VLOOKUP(J190,[1]Clientes!$C:$H,6,0)</f>
        <v>AMBEV</v>
      </c>
      <c r="B190" s="7">
        <f t="shared" si="3"/>
        <v>45206</v>
      </c>
      <c r="C190" s="1" t="s">
        <v>339</v>
      </c>
      <c r="D190" s="1" t="s">
        <v>183</v>
      </c>
      <c r="E190" s="1" t="s">
        <v>184</v>
      </c>
      <c r="F190" s="4">
        <v>45206.445138888892</v>
      </c>
      <c r="G190" s="4">
        <v>45206.445138888892</v>
      </c>
      <c r="H190" s="1" t="s">
        <v>21</v>
      </c>
      <c r="I190" s="1" t="s">
        <v>22</v>
      </c>
      <c r="J190" s="1" t="s">
        <v>340</v>
      </c>
      <c r="L190" s="2">
        <v>6117.99</v>
      </c>
      <c r="M190" s="1" t="s">
        <v>3</v>
      </c>
    </row>
    <row r="191" spans="1:13" x14ac:dyDescent="0.2">
      <c r="A191" s="6" t="s">
        <v>1</v>
      </c>
      <c r="B191" s="7">
        <f t="shared" si="3"/>
        <v>45206</v>
      </c>
      <c r="C191" s="1" t="s">
        <v>71</v>
      </c>
      <c r="D191" s="1" t="s">
        <v>19</v>
      </c>
      <c r="E191" s="1" t="s">
        <v>20</v>
      </c>
      <c r="F191" s="4">
        <v>45206.499305555553</v>
      </c>
      <c r="G191" s="4">
        <v>45206.499305555553</v>
      </c>
      <c r="H191" s="1" t="s">
        <v>21</v>
      </c>
      <c r="I191" s="1" t="s">
        <v>22</v>
      </c>
      <c r="J191" s="1" t="s">
        <v>25</v>
      </c>
      <c r="L191" s="2">
        <v>1953.5</v>
      </c>
      <c r="M191" s="1" t="s">
        <v>1</v>
      </c>
    </row>
    <row r="192" spans="1:13" x14ac:dyDescent="0.2">
      <c r="A192" s="6" t="s">
        <v>1</v>
      </c>
      <c r="B192" s="7">
        <f t="shared" si="3"/>
        <v>45206</v>
      </c>
      <c r="C192" s="1" t="s">
        <v>72</v>
      </c>
      <c r="D192" s="1" t="s">
        <v>19</v>
      </c>
      <c r="E192" s="1" t="s">
        <v>20</v>
      </c>
      <c r="F192" s="4">
        <v>45206.547222222223</v>
      </c>
      <c r="G192" s="4">
        <v>45206.547222222223</v>
      </c>
      <c r="H192" s="1" t="s">
        <v>21</v>
      </c>
      <c r="I192" s="1" t="s">
        <v>22</v>
      </c>
      <c r="J192" s="1" t="s">
        <v>25</v>
      </c>
      <c r="L192" s="2">
        <v>1953.5</v>
      </c>
      <c r="M192" s="1" t="s">
        <v>1</v>
      </c>
    </row>
    <row r="193" spans="1:13" x14ac:dyDescent="0.2">
      <c r="A193" s="6" t="str">
        <f>VLOOKUP(J193,[1]Clientes!$C:$H,6,0)</f>
        <v>OUTROS</v>
      </c>
      <c r="B193" s="7">
        <f t="shared" si="3"/>
        <v>45208</v>
      </c>
      <c r="C193" s="1" t="s">
        <v>341</v>
      </c>
      <c r="D193" s="1" t="s">
        <v>183</v>
      </c>
      <c r="E193" s="1" t="s">
        <v>184</v>
      </c>
      <c r="F193" s="4">
        <v>45208.397916666669</v>
      </c>
      <c r="G193" s="4">
        <v>45208.397916666669</v>
      </c>
      <c r="H193" s="1" t="s">
        <v>21</v>
      </c>
      <c r="I193" s="1" t="s">
        <v>22</v>
      </c>
      <c r="J193" s="1" t="s">
        <v>234</v>
      </c>
      <c r="L193" s="2">
        <v>980</v>
      </c>
      <c r="M193" s="1" t="s">
        <v>4</v>
      </c>
    </row>
    <row r="194" spans="1:13" x14ac:dyDescent="0.2">
      <c r="A194" s="6" t="str">
        <f>VLOOKUP(J194,[1]Clientes!$C:$H,6,0)</f>
        <v>CBA</v>
      </c>
      <c r="B194" s="7">
        <f t="shared" si="3"/>
        <v>45208</v>
      </c>
      <c r="C194" s="1" t="s">
        <v>342</v>
      </c>
      <c r="D194" s="1" t="s">
        <v>183</v>
      </c>
      <c r="E194" s="1" t="s">
        <v>184</v>
      </c>
      <c r="F194" s="4">
        <v>45208.407638888886</v>
      </c>
      <c r="G194" s="4">
        <v>45208.407638888886</v>
      </c>
      <c r="H194" s="1" t="s">
        <v>21</v>
      </c>
      <c r="I194" s="1" t="s">
        <v>22</v>
      </c>
      <c r="J194" s="1" t="s">
        <v>69</v>
      </c>
      <c r="L194" s="2">
        <v>1243.1500000000001</v>
      </c>
      <c r="M194" s="1" t="s">
        <v>0</v>
      </c>
    </row>
    <row r="195" spans="1:13" x14ac:dyDescent="0.2">
      <c r="A195" s="6" t="str">
        <f>VLOOKUP(J195,[1]Clientes!$C:$H,6,0)</f>
        <v>IMERYS</v>
      </c>
      <c r="B195" s="7">
        <f t="shared" si="3"/>
        <v>45208</v>
      </c>
      <c r="C195" s="1" t="s">
        <v>343</v>
      </c>
      <c r="D195" s="1" t="s">
        <v>183</v>
      </c>
      <c r="E195" s="1" t="s">
        <v>184</v>
      </c>
      <c r="F195" s="4">
        <v>45208.45208333333</v>
      </c>
      <c r="G195" s="4">
        <v>45208.45208333333</v>
      </c>
      <c r="H195" s="1" t="s">
        <v>21</v>
      </c>
      <c r="I195" s="1" t="s">
        <v>22</v>
      </c>
      <c r="J195" s="1" t="s">
        <v>188</v>
      </c>
      <c r="L195" s="2">
        <v>1555.38</v>
      </c>
      <c r="M195" s="1" t="s">
        <v>6</v>
      </c>
    </row>
    <row r="196" spans="1:13" x14ac:dyDescent="0.2">
      <c r="A196" s="6" t="s">
        <v>1</v>
      </c>
      <c r="B196" s="7">
        <f t="shared" si="3"/>
        <v>45208</v>
      </c>
      <c r="C196" s="1" t="s">
        <v>73</v>
      </c>
      <c r="D196" s="1" t="s">
        <v>19</v>
      </c>
      <c r="E196" s="1" t="s">
        <v>20</v>
      </c>
      <c r="F196" s="4">
        <v>45208.518750000003</v>
      </c>
      <c r="G196" s="4">
        <v>45208.518750000003</v>
      </c>
      <c r="H196" s="1" t="s">
        <v>21</v>
      </c>
      <c r="I196" s="1" t="s">
        <v>22</v>
      </c>
      <c r="J196" s="1" t="s">
        <v>25</v>
      </c>
      <c r="L196" s="2">
        <v>1953.5</v>
      </c>
      <c r="M196" s="1" t="s">
        <v>1</v>
      </c>
    </row>
    <row r="197" spans="1:13" x14ac:dyDescent="0.2">
      <c r="A197" s="6" t="str">
        <f>VLOOKUP(J197,[1]Clientes!$C:$H,6,0)</f>
        <v>CBA</v>
      </c>
      <c r="B197" s="7">
        <f t="shared" si="3"/>
        <v>45208</v>
      </c>
      <c r="C197" s="1" t="s">
        <v>344</v>
      </c>
      <c r="D197" s="1" t="s">
        <v>183</v>
      </c>
      <c r="E197" s="1" t="s">
        <v>184</v>
      </c>
      <c r="F197" s="4">
        <v>45208.629861111112</v>
      </c>
      <c r="G197" s="4">
        <v>45208.629861111112</v>
      </c>
      <c r="H197" s="1" t="s">
        <v>21</v>
      </c>
      <c r="I197" s="1" t="s">
        <v>22</v>
      </c>
      <c r="J197" s="1" t="s">
        <v>69</v>
      </c>
      <c r="L197" s="2">
        <v>1363.13</v>
      </c>
      <c r="M197" s="1" t="s">
        <v>0</v>
      </c>
    </row>
    <row r="198" spans="1:13" x14ac:dyDescent="0.2">
      <c r="A198" s="6" t="str">
        <f>VLOOKUP(J198,[1]Clientes!$C:$H,6,0)</f>
        <v>CBA</v>
      </c>
      <c r="B198" s="7">
        <f t="shared" si="3"/>
        <v>45208</v>
      </c>
      <c r="C198" s="1" t="s">
        <v>345</v>
      </c>
      <c r="D198" s="1" t="s">
        <v>183</v>
      </c>
      <c r="E198" s="1" t="s">
        <v>184</v>
      </c>
      <c r="F198" s="4">
        <v>45208.634027777778</v>
      </c>
      <c r="G198" s="4">
        <v>45208.634027777778</v>
      </c>
      <c r="H198" s="1" t="s">
        <v>21</v>
      </c>
      <c r="I198" s="1" t="s">
        <v>22</v>
      </c>
      <c r="J198" s="1" t="s">
        <v>69</v>
      </c>
      <c r="L198" s="2">
        <v>1363.13</v>
      </c>
      <c r="M198" s="1" t="s">
        <v>0</v>
      </c>
    </row>
    <row r="199" spans="1:13" x14ac:dyDescent="0.2">
      <c r="A199" s="6" t="s">
        <v>1</v>
      </c>
      <c r="B199" s="7">
        <f t="shared" si="3"/>
        <v>45208</v>
      </c>
      <c r="C199" s="1" t="s">
        <v>74</v>
      </c>
      <c r="D199" s="1" t="s">
        <v>19</v>
      </c>
      <c r="E199" s="1" t="s">
        <v>20</v>
      </c>
      <c r="F199" s="4">
        <v>45208.661805555559</v>
      </c>
      <c r="G199" s="4">
        <v>45208.661805555559</v>
      </c>
      <c r="H199" s="1" t="s">
        <v>21</v>
      </c>
      <c r="I199" s="1" t="s">
        <v>22</v>
      </c>
      <c r="J199" s="1" t="s">
        <v>25</v>
      </c>
      <c r="L199" s="2">
        <v>2025.09</v>
      </c>
      <c r="M199" s="1" t="s">
        <v>1</v>
      </c>
    </row>
    <row r="200" spans="1:13" x14ac:dyDescent="0.2">
      <c r="A200" s="6" t="str">
        <f>VLOOKUP(J200,[1]Clientes!$C:$H,6,0)</f>
        <v>IMERYS</v>
      </c>
      <c r="B200" s="7">
        <f t="shared" si="3"/>
        <v>45208</v>
      </c>
      <c r="C200" s="1" t="s">
        <v>346</v>
      </c>
      <c r="D200" s="1" t="s">
        <v>183</v>
      </c>
      <c r="E200" s="1" t="s">
        <v>184</v>
      </c>
      <c r="F200" s="4">
        <v>45208.702777777777</v>
      </c>
      <c r="G200" s="4">
        <v>45208.702777777777</v>
      </c>
      <c r="H200" s="1" t="s">
        <v>21</v>
      </c>
      <c r="I200" s="1" t="s">
        <v>22</v>
      </c>
      <c r="J200" s="1" t="s">
        <v>188</v>
      </c>
      <c r="L200" s="2">
        <v>973.36</v>
      </c>
      <c r="M200" s="1" t="s">
        <v>6</v>
      </c>
    </row>
    <row r="201" spans="1:13" x14ac:dyDescent="0.2">
      <c r="A201" s="6" t="str">
        <f>VLOOKUP(J201,[1]Clientes!$C:$H,6,0)</f>
        <v>IMERYS</v>
      </c>
      <c r="B201" s="7">
        <f t="shared" si="3"/>
        <v>45208</v>
      </c>
      <c r="C201" s="1" t="s">
        <v>347</v>
      </c>
      <c r="D201" s="1" t="s">
        <v>183</v>
      </c>
      <c r="E201" s="1" t="s">
        <v>184</v>
      </c>
      <c r="F201" s="4">
        <v>45208.732638888891</v>
      </c>
      <c r="G201" s="4">
        <v>45208.732638888891</v>
      </c>
      <c r="H201" s="1" t="s">
        <v>21</v>
      </c>
      <c r="I201" s="1" t="s">
        <v>22</v>
      </c>
      <c r="J201" s="1" t="s">
        <v>188</v>
      </c>
      <c r="L201" s="2">
        <v>6169.63</v>
      </c>
      <c r="M201" s="1" t="s">
        <v>6</v>
      </c>
    </row>
    <row r="202" spans="1:13" x14ac:dyDescent="0.2">
      <c r="A202" s="6" t="str">
        <f>VLOOKUP(J202,[1]Clientes!$C:$H,6,0)</f>
        <v>IMERYS</v>
      </c>
      <c r="B202" s="7">
        <f t="shared" si="3"/>
        <v>45208</v>
      </c>
      <c r="C202" s="1" t="s">
        <v>348</v>
      </c>
      <c r="D202" s="1" t="s">
        <v>183</v>
      </c>
      <c r="E202" s="1" t="s">
        <v>184</v>
      </c>
      <c r="F202" s="4">
        <v>45208.740972222222</v>
      </c>
      <c r="G202" s="4">
        <v>45208.740972222222</v>
      </c>
      <c r="H202" s="1" t="s">
        <v>21</v>
      </c>
      <c r="I202" s="1" t="s">
        <v>22</v>
      </c>
      <c r="J202" s="1" t="s">
        <v>188</v>
      </c>
      <c r="L202" s="2">
        <v>1077.95</v>
      </c>
      <c r="M202" s="1" t="s">
        <v>6</v>
      </c>
    </row>
    <row r="203" spans="1:13" x14ac:dyDescent="0.2">
      <c r="A203" s="6" t="str">
        <f>VLOOKUP(J203,[1]Clientes!$C:$H,6,0)</f>
        <v>IMERYS</v>
      </c>
      <c r="B203" s="7">
        <f t="shared" si="3"/>
        <v>45208</v>
      </c>
      <c r="C203" s="1" t="s">
        <v>349</v>
      </c>
      <c r="D203" s="1" t="s">
        <v>183</v>
      </c>
      <c r="E203" s="1" t="s">
        <v>184</v>
      </c>
      <c r="F203" s="4">
        <v>45208.75277777778</v>
      </c>
      <c r="G203" s="4">
        <v>45208.75277777778</v>
      </c>
      <c r="H203" s="1" t="s">
        <v>21</v>
      </c>
      <c r="I203" s="1" t="s">
        <v>22</v>
      </c>
      <c r="J203" s="1" t="s">
        <v>188</v>
      </c>
      <c r="L203" s="2">
        <v>1084.55</v>
      </c>
      <c r="M203" s="1" t="s">
        <v>6</v>
      </c>
    </row>
    <row r="204" spans="1:13" x14ac:dyDescent="0.2">
      <c r="A204" s="6" t="str">
        <f>VLOOKUP(J204,[1]Clientes!$C:$H,6,0)</f>
        <v>IMERYS</v>
      </c>
      <c r="B204" s="7">
        <f t="shared" si="3"/>
        <v>45208</v>
      </c>
      <c r="C204" s="1" t="s">
        <v>350</v>
      </c>
      <c r="D204" s="1" t="s">
        <v>183</v>
      </c>
      <c r="E204" s="1" t="s">
        <v>184</v>
      </c>
      <c r="F204" s="4">
        <v>45208.775694444441</v>
      </c>
      <c r="G204" s="4">
        <v>45208.775694444441</v>
      </c>
      <c r="H204" s="1" t="s">
        <v>21</v>
      </c>
      <c r="I204" s="1" t="s">
        <v>22</v>
      </c>
      <c r="J204" s="1" t="s">
        <v>188</v>
      </c>
      <c r="L204" s="2">
        <v>834.73</v>
      </c>
      <c r="M204" s="1" t="s">
        <v>6</v>
      </c>
    </row>
    <row r="205" spans="1:13" x14ac:dyDescent="0.2">
      <c r="A205" s="6" t="str">
        <f>VLOOKUP(J205,[1]Clientes!$C:$H,6,0)</f>
        <v>CBA</v>
      </c>
      <c r="B205" s="7">
        <f t="shared" si="3"/>
        <v>45208</v>
      </c>
      <c r="C205" s="1" t="s">
        <v>351</v>
      </c>
      <c r="D205" s="1" t="s">
        <v>183</v>
      </c>
      <c r="E205" s="1" t="s">
        <v>184</v>
      </c>
      <c r="F205" s="4">
        <v>45208.792361111111</v>
      </c>
      <c r="G205" s="4">
        <v>45208.792361111111</v>
      </c>
      <c r="H205" s="1" t="s">
        <v>21</v>
      </c>
      <c r="I205" s="1" t="s">
        <v>22</v>
      </c>
      <c r="J205" s="1" t="s">
        <v>69</v>
      </c>
      <c r="L205" s="2">
        <v>2463.86</v>
      </c>
      <c r="M205" s="1" t="s">
        <v>0</v>
      </c>
    </row>
    <row r="206" spans="1:13" x14ac:dyDescent="0.2">
      <c r="A206" s="6" t="str">
        <f>VLOOKUP(J206,[1]Clientes!$C:$H,6,0)</f>
        <v>CBA</v>
      </c>
      <c r="B206" s="7">
        <f t="shared" si="3"/>
        <v>45208</v>
      </c>
      <c r="C206" s="1" t="s">
        <v>352</v>
      </c>
      <c r="D206" s="1" t="s">
        <v>183</v>
      </c>
      <c r="E206" s="1" t="s">
        <v>184</v>
      </c>
      <c r="F206" s="4">
        <v>45208.834722222222</v>
      </c>
      <c r="G206" s="4">
        <v>45208.834722222222</v>
      </c>
      <c r="H206" s="1" t="s">
        <v>21</v>
      </c>
      <c r="I206" s="1" t="s">
        <v>22</v>
      </c>
      <c r="J206" s="1" t="s">
        <v>210</v>
      </c>
      <c r="L206" s="2">
        <v>3458.76</v>
      </c>
      <c r="M206" s="1" t="s">
        <v>0</v>
      </c>
    </row>
    <row r="207" spans="1:13" x14ac:dyDescent="0.2">
      <c r="A207" s="6" t="s">
        <v>1</v>
      </c>
      <c r="B207" s="7">
        <f t="shared" ref="B207:B253" si="4">QUOTIENT(F207,1)</f>
        <v>45208</v>
      </c>
      <c r="C207" s="1" t="s">
        <v>75</v>
      </c>
      <c r="D207" s="1" t="s">
        <v>19</v>
      </c>
      <c r="E207" s="1" t="s">
        <v>20</v>
      </c>
      <c r="F207" s="4">
        <v>45208.841666666667</v>
      </c>
      <c r="G207" s="4">
        <v>45208.841666666667</v>
      </c>
      <c r="H207" s="1" t="s">
        <v>21</v>
      </c>
      <c r="I207" s="1" t="s">
        <v>22</v>
      </c>
      <c r="J207" s="1" t="s">
        <v>25</v>
      </c>
      <c r="L207" s="2">
        <v>2025.09</v>
      </c>
      <c r="M207" s="1" t="s">
        <v>1</v>
      </c>
    </row>
    <row r="208" spans="1:13" x14ac:dyDescent="0.2">
      <c r="A208" s="6" t="str">
        <f>VLOOKUP(J208,[1]Clientes!$C:$H,6,0)</f>
        <v>CBA</v>
      </c>
      <c r="B208" s="7">
        <f t="shared" si="4"/>
        <v>45208</v>
      </c>
      <c r="C208" s="1" t="s">
        <v>353</v>
      </c>
      <c r="D208" s="1" t="s">
        <v>183</v>
      </c>
      <c r="E208" s="1" t="s">
        <v>184</v>
      </c>
      <c r="F208" s="4">
        <v>45208.878472222219</v>
      </c>
      <c r="G208" s="4">
        <v>45208.878472222219</v>
      </c>
      <c r="H208" s="1" t="s">
        <v>21</v>
      </c>
      <c r="I208" s="1" t="s">
        <v>22</v>
      </c>
      <c r="J208" s="1" t="s">
        <v>69</v>
      </c>
      <c r="L208" s="2">
        <v>1514.73</v>
      </c>
      <c r="M208" s="1" t="s">
        <v>0</v>
      </c>
    </row>
    <row r="209" spans="1:13" x14ac:dyDescent="0.2">
      <c r="A209" s="6" t="str">
        <f>VLOOKUP(J209,[1]Clientes!$C:$H,6,0)</f>
        <v>UNIPAR</v>
      </c>
      <c r="B209" s="7">
        <f t="shared" si="4"/>
        <v>45208</v>
      </c>
      <c r="C209" s="1" t="s">
        <v>354</v>
      </c>
      <c r="D209" s="1" t="s">
        <v>183</v>
      </c>
      <c r="E209" s="1" t="s">
        <v>184</v>
      </c>
      <c r="F209" s="4">
        <v>45208.896527777775</v>
      </c>
      <c r="G209" s="4">
        <v>45208.896527777775</v>
      </c>
      <c r="H209" s="1" t="s">
        <v>21</v>
      </c>
      <c r="I209" s="1" t="s">
        <v>22</v>
      </c>
      <c r="J209" s="1" t="s">
        <v>63</v>
      </c>
      <c r="L209" s="2">
        <v>5889.01</v>
      </c>
      <c r="M209" s="1" t="s">
        <v>647</v>
      </c>
    </row>
    <row r="210" spans="1:13" x14ac:dyDescent="0.2">
      <c r="A210" s="6" t="str">
        <f>VLOOKUP(J210,[1]Clientes!$C:$H,6,0)</f>
        <v>UNIPAR</v>
      </c>
      <c r="B210" s="7">
        <f t="shared" si="4"/>
        <v>45208</v>
      </c>
      <c r="C210" s="1" t="s">
        <v>355</v>
      </c>
      <c r="D210" s="1" t="s">
        <v>183</v>
      </c>
      <c r="E210" s="1" t="s">
        <v>184</v>
      </c>
      <c r="F210" s="4">
        <v>45208.902083333334</v>
      </c>
      <c r="G210" s="4">
        <v>45208.902083333334</v>
      </c>
      <c r="H210" s="1" t="s">
        <v>21</v>
      </c>
      <c r="I210" s="1" t="s">
        <v>22</v>
      </c>
      <c r="J210" s="1" t="s">
        <v>63</v>
      </c>
      <c r="L210" s="2">
        <v>3425.27</v>
      </c>
      <c r="M210" s="1" t="s">
        <v>647</v>
      </c>
    </row>
    <row r="211" spans="1:13" x14ac:dyDescent="0.2">
      <c r="A211" s="6" t="str">
        <f>VLOOKUP(J211,[1]Clientes!$C:$H,6,0)</f>
        <v>CBA</v>
      </c>
      <c r="B211" s="7">
        <f t="shared" si="4"/>
        <v>45208</v>
      </c>
      <c r="C211" s="1" t="s">
        <v>356</v>
      </c>
      <c r="D211" s="1" t="s">
        <v>183</v>
      </c>
      <c r="E211" s="1" t="s">
        <v>184</v>
      </c>
      <c r="F211" s="4">
        <v>45208.976388888892</v>
      </c>
      <c r="G211" s="4">
        <v>45208.976388888892</v>
      </c>
      <c r="H211" s="1" t="s">
        <v>21</v>
      </c>
      <c r="I211" s="1" t="s">
        <v>22</v>
      </c>
      <c r="J211" s="1" t="s">
        <v>69</v>
      </c>
      <c r="L211" s="2">
        <v>6348.93</v>
      </c>
      <c r="M211" s="1" t="s">
        <v>0</v>
      </c>
    </row>
    <row r="212" spans="1:13" x14ac:dyDescent="0.2">
      <c r="A212" s="6" t="s">
        <v>1</v>
      </c>
      <c r="B212" s="7">
        <f t="shared" si="4"/>
        <v>45209</v>
      </c>
      <c r="C212" s="1" t="s">
        <v>76</v>
      </c>
      <c r="D212" s="1" t="s">
        <v>19</v>
      </c>
      <c r="E212" s="1" t="s">
        <v>20</v>
      </c>
      <c r="F212" s="4">
        <v>45209.333333333336</v>
      </c>
      <c r="G212" s="4">
        <v>45209.333333333336</v>
      </c>
      <c r="H212" s="1" t="s">
        <v>21</v>
      </c>
      <c r="I212" s="1" t="s">
        <v>22</v>
      </c>
      <c r="J212" s="1" t="s">
        <v>25</v>
      </c>
      <c r="L212" s="2">
        <v>2342.38</v>
      </c>
      <c r="M212" s="1" t="s">
        <v>1</v>
      </c>
    </row>
    <row r="213" spans="1:13" x14ac:dyDescent="0.2">
      <c r="A213" s="6" t="s">
        <v>1</v>
      </c>
      <c r="B213" s="7">
        <f t="shared" si="4"/>
        <v>45209</v>
      </c>
      <c r="C213" s="1" t="s">
        <v>77</v>
      </c>
      <c r="D213" s="1" t="s">
        <v>19</v>
      </c>
      <c r="E213" s="1" t="s">
        <v>20</v>
      </c>
      <c r="F213" s="4">
        <v>45209.371527777781</v>
      </c>
      <c r="G213" s="4">
        <v>45209.371527777781</v>
      </c>
      <c r="H213" s="1" t="s">
        <v>21</v>
      </c>
      <c r="I213" s="1" t="s">
        <v>22</v>
      </c>
      <c r="J213" s="1" t="s">
        <v>25</v>
      </c>
      <c r="L213" s="2">
        <v>2342.38</v>
      </c>
      <c r="M213" s="1" t="s">
        <v>1</v>
      </c>
    </row>
    <row r="214" spans="1:13" x14ac:dyDescent="0.2">
      <c r="A214" s="6" t="str">
        <f>VLOOKUP(J214,[1]Clientes!$C:$H,6,0)</f>
        <v>CBA</v>
      </c>
      <c r="B214" s="7">
        <f t="shared" si="4"/>
        <v>45209</v>
      </c>
      <c r="C214" s="1" t="s">
        <v>357</v>
      </c>
      <c r="D214" s="1" t="s">
        <v>183</v>
      </c>
      <c r="E214" s="1" t="s">
        <v>184</v>
      </c>
      <c r="F214" s="4">
        <v>45209.388888888891</v>
      </c>
      <c r="G214" s="4">
        <v>45209.388888888891</v>
      </c>
      <c r="H214" s="1" t="s">
        <v>21</v>
      </c>
      <c r="I214" s="1" t="s">
        <v>22</v>
      </c>
      <c r="J214" s="1" t="s">
        <v>69</v>
      </c>
      <c r="L214" s="2">
        <v>2542.63</v>
      </c>
      <c r="M214" s="1" t="s">
        <v>0</v>
      </c>
    </row>
    <row r="215" spans="1:13" x14ac:dyDescent="0.2">
      <c r="A215" s="6" t="str">
        <f>VLOOKUP(J215,[1]Clientes!$C:$H,6,0)</f>
        <v>CBA</v>
      </c>
      <c r="B215" s="7">
        <f t="shared" si="4"/>
        <v>45209</v>
      </c>
      <c r="C215" s="1" t="s">
        <v>358</v>
      </c>
      <c r="D215" s="1" t="s">
        <v>183</v>
      </c>
      <c r="E215" s="1" t="s">
        <v>184</v>
      </c>
      <c r="F215" s="4">
        <v>45209.393750000003</v>
      </c>
      <c r="G215" s="4">
        <v>45209.393750000003</v>
      </c>
      <c r="H215" s="1" t="s">
        <v>21</v>
      </c>
      <c r="I215" s="1" t="s">
        <v>22</v>
      </c>
      <c r="J215" s="1" t="s">
        <v>69</v>
      </c>
      <c r="L215" s="2">
        <v>1398.88</v>
      </c>
      <c r="M215" s="1" t="s">
        <v>0</v>
      </c>
    </row>
    <row r="216" spans="1:13" x14ac:dyDescent="0.2">
      <c r="A216" s="6" t="str">
        <f>VLOOKUP(J216,[1]Clientes!$C:$H,6,0)</f>
        <v>CBA</v>
      </c>
      <c r="B216" s="7">
        <f t="shared" si="4"/>
        <v>45209</v>
      </c>
      <c r="C216" s="1" t="s">
        <v>359</v>
      </c>
      <c r="D216" s="1" t="s">
        <v>183</v>
      </c>
      <c r="E216" s="1" t="s">
        <v>184</v>
      </c>
      <c r="F216" s="4">
        <v>45209.40625</v>
      </c>
      <c r="G216" s="4">
        <v>45209.40625</v>
      </c>
      <c r="H216" s="1" t="s">
        <v>21</v>
      </c>
      <c r="I216" s="1" t="s">
        <v>22</v>
      </c>
      <c r="J216" s="1" t="s">
        <v>210</v>
      </c>
      <c r="L216" s="2">
        <v>3458.44</v>
      </c>
      <c r="M216" s="1" t="s">
        <v>0</v>
      </c>
    </row>
    <row r="217" spans="1:13" x14ac:dyDescent="0.2">
      <c r="A217" s="6" t="str">
        <f>VLOOKUP(J217,[1]Clientes!$C:$H,6,0)</f>
        <v>CBA</v>
      </c>
      <c r="B217" s="7">
        <f t="shared" si="4"/>
        <v>45209</v>
      </c>
      <c r="C217" s="1" t="s">
        <v>360</v>
      </c>
      <c r="D217" s="1" t="s">
        <v>183</v>
      </c>
      <c r="E217" s="1" t="s">
        <v>184</v>
      </c>
      <c r="F217" s="4">
        <v>45209.413194444445</v>
      </c>
      <c r="G217" s="4">
        <v>45209.413194444445</v>
      </c>
      <c r="H217" s="1" t="s">
        <v>21</v>
      </c>
      <c r="I217" s="1" t="s">
        <v>22</v>
      </c>
      <c r="J217" s="1" t="s">
        <v>210</v>
      </c>
      <c r="L217" s="2">
        <v>3455.85</v>
      </c>
      <c r="M217" s="1" t="s">
        <v>0</v>
      </c>
    </row>
    <row r="218" spans="1:13" x14ac:dyDescent="0.2">
      <c r="A218" s="6" t="str">
        <f>VLOOKUP(J218,[1]Clientes!$C:$H,6,0)</f>
        <v>CBA</v>
      </c>
      <c r="B218" s="7">
        <f t="shared" si="4"/>
        <v>45209</v>
      </c>
      <c r="C218" s="1" t="s">
        <v>361</v>
      </c>
      <c r="D218" s="1" t="s">
        <v>183</v>
      </c>
      <c r="E218" s="1" t="s">
        <v>184</v>
      </c>
      <c r="F218" s="4">
        <v>45209.415277777778</v>
      </c>
      <c r="G218" s="4">
        <v>45209.415277777778</v>
      </c>
      <c r="H218" s="1" t="s">
        <v>21</v>
      </c>
      <c r="I218" s="1" t="s">
        <v>22</v>
      </c>
      <c r="J218" s="1" t="s">
        <v>210</v>
      </c>
      <c r="L218" s="2">
        <v>3460.16</v>
      </c>
      <c r="M218" s="1" t="s">
        <v>0</v>
      </c>
    </row>
    <row r="219" spans="1:13" x14ac:dyDescent="0.2">
      <c r="A219" s="6" t="str">
        <f>VLOOKUP(J219,[1]Clientes!$C:$H,6,0)</f>
        <v>CBA</v>
      </c>
      <c r="B219" s="7">
        <f t="shared" si="4"/>
        <v>45209</v>
      </c>
      <c r="C219" s="1" t="s">
        <v>362</v>
      </c>
      <c r="D219" s="1" t="s">
        <v>183</v>
      </c>
      <c r="E219" s="1" t="s">
        <v>184</v>
      </c>
      <c r="F219" s="4">
        <v>45209.417361111111</v>
      </c>
      <c r="G219" s="4">
        <v>45209.417361111111</v>
      </c>
      <c r="H219" s="1" t="s">
        <v>21</v>
      </c>
      <c r="I219" s="1" t="s">
        <v>22</v>
      </c>
      <c r="J219" s="1" t="s">
        <v>210</v>
      </c>
      <c r="L219" s="2">
        <v>3457.75</v>
      </c>
      <c r="M219" s="1" t="s">
        <v>0</v>
      </c>
    </row>
    <row r="220" spans="1:13" x14ac:dyDescent="0.2">
      <c r="A220" s="6" t="str">
        <f>VLOOKUP(J220,[1]Clientes!$C:$H,6,0)</f>
        <v>CBA</v>
      </c>
      <c r="B220" s="7">
        <f t="shared" si="4"/>
        <v>45209</v>
      </c>
      <c r="C220" s="1" t="s">
        <v>363</v>
      </c>
      <c r="D220" s="1" t="s">
        <v>183</v>
      </c>
      <c r="E220" s="1" t="s">
        <v>184</v>
      </c>
      <c r="F220" s="4">
        <v>45209.422222222223</v>
      </c>
      <c r="G220" s="4">
        <v>45209.422222222223</v>
      </c>
      <c r="H220" s="1" t="s">
        <v>21</v>
      </c>
      <c r="I220" s="1" t="s">
        <v>22</v>
      </c>
      <c r="J220" s="1" t="s">
        <v>69</v>
      </c>
      <c r="L220" s="2">
        <v>1516.83</v>
      </c>
      <c r="M220" s="1" t="s">
        <v>0</v>
      </c>
    </row>
    <row r="221" spans="1:13" x14ac:dyDescent="0.2">
      <c r="A221" s="6" t="str">
        <f>VLOOKUP(J221,[1]Clientes!$C:$H,6,0)</f>
        <v>OUTROS</v>
      </c>
      <c r="B221" s="7">
        <f t="shared" si="4"/>
        <v>45209</v>
      </c>
      <c r="C221" s="1" t="s">
        <v>364</v>
      </c>
      <c r="D221" s="1" t="s">
        <v>183</v>
      </c>
      <c r="E221" s="1" t="s">
        <v>184</v>
      </c>
      <c r="F221" s="4">
        <v>45209.447222222225</v>
      </c>
      <c r="G221" s="4">
        <v>45209.447222222225</v>
      </c>
      <c r="H221" s="1" t="s">
        <v>21</v>
      </c>
      <c r="I221" s="1" t="s">
        <v>22</v>
      </c>
      <c r="J221" s="1" t="s">
        <v>365</v>
      </c>
      <c r="L221" s="2">
        <v>803.14</v>
      </c>
      <c r="M221" s="1" t="s">
        <v>4</v>
      </c>
    </row>
    <row r="222" spans="1:13" x14ac:dyDescent="0.2">
      <c r="A222" s="6" t="str">
        <f>VLOOKUP(J222,[1]Clientes!$C:$H,6,0)</f>
        <v>CBA</v>
      </c>
      <c r="B222" s="7">
        <f t="shared" si="4"/>
        <v>45209</v>
      </c>
      <c r="C222" s="1" t="s">
        <v>366</v>
      </c>
      <c r="D222" s="1" t="s">
        <v>183</v>
      </c>
      <c r="E222" s="1" t="s">
        <v>184</v>
      </c>
      <c r="F222" s="4">
        <v>45209.456250000003</v>
      </c>
      <c r="G222" s="4">
        <v>45209.456250000003</v>
      </c>
      <c r="H222" s="1" t="s">
        <v>21</v>
      </c>
      <c r="I222" s="1" t="s">
        <v>22</v>
      </c>
      <c r="J222" s="1" t="s">
        <v>69</v>
      </c>
      <c r="L222" s="2">
        <v>1398.94</v>
      </c>
      <c r="M222" s="1" t="s">
        <v>0</v>
      </c>
    </row>
    <row r="223" spans="1:13" x14ac:dyDescent="0.2">
      <c r="A223" s="6" t="s">
        <v>1</v>
      </c>
      <c r="B223" s="7">
        <f t="shared" si="4"/>
        <v>45209</v>
      </c>
      <c r="C223" s="1" t="s">
        <v>78</v>
      </c>
      <c r="D223" s="1" t="s">
        <v>19</v>
      </c>
      <c r="E223" s="1" t="s">
        <v>20</v>
      </c>
      <c r="F223" s="4">
        <v>45209.478472222225</v>
      </c>
      <c r="G223" s="4">
        <v>45209.478472222225</v>
      </c>
      <c r="H223" s="1" t="s">
        <v>21</v>
      </c>
      <c r="I223" s="1" t="s">
        <v>22</v>
      </c>
      <c r="J223" s="1" t="s">
        <v>25</v>
      </c>
      <c r="L223" s="2">
        <v>2992.77</v>
      </c>
      <c r="M223" s="1" t="s">
        <v>1</v>
      </c>
    </row>
    <row r="224" spans="1:13" x14ac:dyDescent="0.2">
      <c r="A224" s="6" t="str">
        <f>VLOOKUP(J224,[1]Clientes!$C:$H,6,0)</f>
        <v>IMERYS</v>
      </c>
      <c r="B224" s="7">
        <f t="shared" si="4"/>
        <v>45209</v>
      </c>
      <c r="C224" s="1" t="s">
        <v>367</v>
      </c>
      <c r="D224" s="1" t="s">
        <v>183</v>
      </c>
      <c r="E224" s="1" t="s">
        <v>184</v>
      </c>
      <c r="F224" s="4">
        <v>45209.499305555553</v>
      </c>
      <c r="G224" s="4">
        <v>45209.499305555553</v>
      </c>
      <c r="H224" s="1" t="s">
        <v>21</v>
      </c>
      <c r="I224" s="1" t="s">
        <v>22</v>
      </c>
      <c r="J224" s="1" t="s">
        <v>188</v>
      </c>
      <c r="L224" s="2">
        <v>1463.53</v>
      </c>
      <c r="M224" s="1" t="s">
        <v>6</v>
      </c>
    </row>
    <row r="225" spans="1:13" x14ac:dyDescent="0.2">
      <c r="A225" s="6" t="s">
        <v>1</v>
      </c>
      <c r="B225" s="7">
        <f t="shared" si="4"/>
        <v>45209</v>
      </c>
      <c r="C225" s="1" t="s">
        <v>79</v>
      </c>
      <c r="D225" s="1" t="s">
        <v>19</v>
      </c>
      <c r="E225" s="1" t="s">
        <v>20</v>
      </c>
      <c r="F225" s="4">
        <v>45209.543749999997</v>
      </c>
      <c r="G225" s="4">
        <v>45209.543749999997</v>
      </c>
      <c r="H225" s="1" t="s">
        <v>21</v>
      </c>
      <c r="I225" s="1" t="s">
        <v>22</v>
      </c>
      <c r="J225" s="1" t="s">
        <v>25</v>
      </c>
      <c r="L225" s="2">
        <v>2342.36</v>
      </c>
      <c r="M225" s="1" t="s">
        <v>1</v>
      </c>
    </row>
    <row r="226" spans="1:13" x14ac:dyDescent="0.2">
      <c r="A226" s="6" t="str">
        <f>VLOOKUP(J226,[1]Clientes!$C:$H,6,0)</f>
        <v>CBA</v>
      </c>
      <c r="B226" s="7">
        <f t="shared" si="4"/>
        <v>45209</v>
      </c>
      <c r="C226" s="1" t="s">
        <v>368</v>
      </c>
      <c r="D226" s="1" t="s">
        <v>183</v>
      </c>
      <c r="E226" s="1" t="s">
        <v>184</v>
      </c>
      <c r="F226" s="4">
        <v>45209.557638888888</v>
      </c>
      <c r="G226" s="4">
        <v>45209.557638888888</v>
      </c>
      <c r="H226" s="1" t="s">
        <v>21</v>
      </c>
      <c r="I226" s="1" t="s">
        <v>22</v>
      </c>
      <c r="J226" s="1" t="s">
        <v>210</v>
      </c>
      <c r="L226" s="2">
        <v>3459.97</v>
      </c>
      <c r="M226" s="1" t="s">
        <v>0</v>
      </c>
    </row>
    <row r="227" spans="1:13" x14ac:dyDescent="0.2">
      <c r="A227" s="6" t="str">
        <f>VLOOKUP(J227,[1]Clientes!$C:$H,6,0)</f>
        <v>CBA</v>
      </c>
      <c r="B227" s="7">
        <f t="shared" si="4"/>
        <v>45209</v>
      </c>
      <c r="C227" s="1" t="s">
        <v>369</v>
      </c>
      <c r="D227" s="1" t="s">
        <v>183</v>
      </c>
      <c r="E227" s="1" t="s">
        <v>184</v>
      </c>
      <c r="F227" s="4">
        <v>45209.560416666667</v>
      </c>
      <c r="G227" s="4">
        <v>45209.560416666667</v>
      </c>
      <c r="H227" s="1" t="s">
        <v>21</v>
      </c>
      <c r="I227" s="1" t="s">
        <v>22</v>
      </c>
      <c r="J227" s="1" t="s">
        <v>210</v>
      </c>
      <c r="L227" s="2">
        <v>3459.14</v>
      </c>
      <c r="M227" s="1" t="s">
        <v>0</v>
      </c>
    </row>
    <row r="228" spans="1:13" x14ac:dyDescent="0.2">
      <c r="A228" s="6" t="str">
        <f>VLOOKUP(J228,[1]Clientes!$C:$H,6,0)</f>
        <v>CBA</v>
      </c>
      <c r="B228" s="7">
        <f t="shared" si="4"/>
        <v>45209</v>
      </c>
      <c r="C228" s="1" t="s">
        <v>370</v>
      </c>
      <c r="D228" s="1" t="s">
        <v>183</v>
      </c>
      <c r="E228" s="1" t="s">
        <v>184</v>
      </c>
      <c r="F228" s="4">
        <v>45209.563888888886</v>
      </c>
      <c r="G228" s="4">
        <v>45209.563888888886</v>
      </c>
      <c r="H228" s="1" t="s">
        <v>21</v>
      </c>
      <c r="I228" s="1" t="s">
        <v>22</v>
      </c>
      <c r="J228" s="1" t="s">
        <v>210</v>
      </c>
      <c r="L228" s="2">
        <v>3457.81</v>
      </c>
      <c r="M228" s="1" t="s">
        <v>0</v>
      </c>
    </row>
    <row r="229" spans="1:13" x14ac:dyDescent="0.2">
      <c r="A229" s="6" t="str">
        <f>VLOOKUP(J229,[1]Clientes!$C:$H,6,0)</f>
        <v>VERDE FORTE</v>
      </c>
      <c r="B229" s="7">
        <f t="shared" si="4"/>
        <v>45209</v>
      </c>
      <c r="C229" s="1" t="s">
        <v>371</v>
      </c>
      <c r="D229" s="1" t="s">
        <v>183</v>
      </c>
      <c r="E229" s="1" t="s">
        <v>184</v>
      </c>
      <c r="F229" s="4">
        <v>45209.712500000001</v>
      </c>
      <c r="G229" s="4">
        <v>45209.712500000001</v>
      </c>
      <c r="H229" s="1" t="s">
        <v>21</v>
      </c>
      <c r="I229" s="1" t="s">
        <v>22</v>
      </c>
      <c r="J229" s="1" t="s">
        <v>27</v>
      </c>
      <c r="L229" s="2">
        <v>2086.6</v>
      </c>
      <c r="M229" s="1" t="s">
        <v>2</v>
      </c>
    </row>
    <row r="230" spans="1:13" x14ac:dyDescent="0.2">
      <c r="A230" s="6" t="str">
        <f>VLOOKUP(J230,[1]Clientes!$C:$H,6,0)</f>
        <v>IMERYS</v>
      </c>
      <c r="B230" s="7">
        <f t="shared" si="4"/>
        <v>45209</v>
      </c>
      <c r="C230" s="1" t="s">
        <v>372</v>
      </c>
      <c r="D230" s="1" t="s">
        <v>183</v>
      </c>
      <c r="E230" s="1" t="s">
        <v>184</v>
      </c>
      <c r="F230" s="4">
        <v>45209.751388888886</v>
      </c>
      <c r="G230" s="4">
        <v>45209.751388888886</v>
      </c>
      <c r="H230" s="1" t="s">
        <v>21</v>
      </c>
      <c r="I230" s="1" t="s">
        <v>22</v>
      </c>
      <c r="J230" s="1" t="s">
        <v>188</v>
      </c>
      <c r="L230" s="2">
        <v>1158.99</v>
      </c>
      <c r="M230" s="1" t="s">
        <v>6</v>
      </c>
    </row>
    <row r="231" spans="1:13" x14ac:dyDescent="0.2">
      <c r="A231" s="6" t="str">
        <f>VLOOKUP(J231,[1]Clientes!$C:$H,6,0)</f>
        <v>UNIPAR</v>
      </c>
      <c r="B231" s="7">
        <f t="shared" si="4"/>
        <v>45209</v>
      </c>
      <c r="C231" s="1" t="s">
        <v>373</v>
      </c>
      <c r="D231" s="1" t="s">
        <v>183</v>
      </c>
      <c r="E231" s="1" t="s">
        <v>184</v>
      </c>
      <c r="F231" s="4">
        <v>45209.759722222225</v>
      </c>
      <c r="G231" s="4">
        <v>45209.759722222225</v>
      </c>
      <c r="H231" s="1" t="s">
        <v>21</v>
      </c>
      <c r="I231" s="1" t="s">
        <v>22</v>
      </c>
      <c r="J231" s="1" t="s">
        <v>63</v>
      </c>
      <c r="L231" s="2">
        <v>7752.82</v>
      </c>
      <c r="M231" s="1" t="s">
        <v>647</v>
      </c>
    </row>
    <row r="232" spans="1:13" x14ac:dyDescent="0.2">
      <c r="A232" s="6" t="str">
        <f>VLOOKUP(J232,[1]Clientes!$C:$H,6,0)</f>
        <v>UNIPAR</v>
      </c>
      <c r="B232" s="7">
        <f t="shared" si="4"/>
        <v>45209</v>
      </c>
      <c r="C232" s="1" t="s">
        <v>374</v>
      </c>
      <c r="D232" s="1" t="s">
        <v>183</v>
      </c>
      <c r="E232" s="1" t="s">
        <v>184</v>
      </c>
      <c r="F232" s="4">
        <v>45209.811805555553</v>
      </c>
      <c r="G232" s="4">
        <v>45209.811805555553</v>
      </c>
      <c r="H232" s="1" t="s">
        <v>21</v>
      </c>
      <c r="I232" s="1" t="s">
        <v>22</v>
      </c>
      <c r="J232" s="1" t="s">
        <v>63</v>
      </c>
      <c r="L232" s="2">
        <v>5889.01</v>
      </c>
      <c r="M232" s="1" t="s">
        <v>647</v>
      </c>
    </row>
    <row r="233" spans="1:13" x14ac:dyDescent="0.2">
      <c r="A233" s="6" t="s">
        <v>1</v>
      </c>
      <c r="B233" s="7">
        <f t="shared" si="4"/>
        <v>45209</v>
      </c>
      <c r="C233" s="1" t="s">
        <v>80</v>
      </c>
      <c r="D233" s="1" t="s">
        <v>19</v>
      </c>
      <c r="E233" s="1" t="s">
        <v>20</v>
      </c>
      <c r="F233" s="4">
        <v>45209.862500000003</v>
      </c>
      <c r="G233" s="4">
        <v>45209.862500000003</v>
      </c>
      <c r="H233" s="1" t="s">
        <v>21</v>
      </c>
      <c r="I233" s="1" t="s">
        <v>22</v>
      </c>
      <c r="J233" s="1" t="s">
        <v>25</v>
      </c>
      <c r="L233" s="2">
        <v>2995.3</v>
      </c>
      <c r="M233" s="1" t="s">
        <v>1</v>
      </c>
    </row>
    <row r="234" spans="1:13" x14ac:dyDescent="0.2">
      <c r="A234" s="6" t="s">
        <v>1</v>
      </c>
      <c r="B234" s="7">
        <f t="shared" si="4"/>
        <v>45209</v>
      </c>
      <c r="C234" s="1" t="s">
        <v>81</v>
      </c>
      <c r="D234" s="1" t="s">
        <v>19</v>
      </c>
      <c r="E234" s="1" t="s">
        <v>20</v>
      </c>
      <c r="F234" s="4">
        <v>45209.868055555555</v>
      </c>
      <c r="G234" s="4">
        <v>45209.868055555555</v>
      </c>
      <c r="H234" s="1" t="s">
        <v>21</v>
      </c>
      <c r="I234" s="1" t="s">
        <v>22</v>
      </c>
      <c r="J234" s="1" t="s">
        <v>25</v>
      </c>
      <c r="L234" s="2">
        <v>2995.3</v>
      </c>
      <c r="M234" s="1" t="s">
        <v>1</v>
      </c>
    </row>
    <row r="235" spans="1:13" x14ac:dyDescent="0.2">
      <c r="A235" s="6" t="str">
        <f>VLOOKUP(J235,[1]Clientes!$C:$H,6,0)</f>
        <v>UNIPAR</v>
      </c>
      <c r="B235" s="7">
        <f t="shared" si="4"/>
        <v>45209</v>
      </c>
      <c r="C235" s="1" t="s">
        <v>375</v>
      </c>
      <c r="D235" s="1" t="s">
        <v>183</v>
      </c>
      <c r="E235" s="1" t="s">
        <v>184</v>
      </c>
      <c r="F235" s="4">
        <v>45209.892361111109</v>
      </c>
      <c r="G235" s="4">
        <v>45209.892361111109</v>
      </c>
      <c r="H235" s="1" t="s">
        <v>21</v>
      </c>
      <c r="I235" s="1" t="s">
        <v>22</v>
      </c>
      <c r="J235" s="1" t="s">
        <v>63</v>
      </c>
      <c r="L235" s="2">
        <v>9925.14</v>
      </c>
      <c r="M235" s="1" t="s">
        <v>647</v>
      </c>
    </row>
    <row r="236" spans="1:13" x14ac:dyDescent="0.2">
      <c r="A236" s="6" t="str">
        <f>VLOOKUP(J236,[1]Clientes!$C:$H,6,0)</f>
        <v>UNIPAR</v>
      </c>
      <c r="B236" s="7">
        <f t="shared" si="4"/>
        <v>45209</v>
      </c>
      <c r="C236" s="1" t="s">
        <v>376</v>
      </c>
      <c r="D236" s="1" t="s">
        <v>183</v>
      </c>
      <c r="E236" s="1" t="s">
        <v>184</v>
      </c>
      <c r="F236" s="4">
        <v>45209.901388888888</v>
      </c>
      <c r="G236" s="4">
        <v>45209.901388888888</v>
      </c>
      <c r="H236" s="1" t="s">
        <v>21</v>
      </c>
      <c r="I236" s="1" t="s">
        <v>22</v>
      </c>
      <c r="J236" s="1" t="s">
        <v>63</v>
      </c>
      <c r="L236" s="2">
        <v>3425.27</v>
      </c>
      <c r="M236" s="1" t="s">
        <v>647</v>
      </c>
    </row>
    <row r="237" spans="1:13" x14ac:dyDescent="0.2">
      <c r="A237" s="6" t="str">
        <f>VLOOKUP(J237,[1]Clientes!$C:$H,6,0)</f>
        <v>CBA</v>
      </c>
      <c r="B237" s="7">
        <f t="shared" si="4"/>
        <v>45209</v>
      </c>
      <c r="C237" s="1" t="s">
        <v>377</v>
      </c>
      <c r="D237" s="1" t="s">
        <v>183</v>
      </c>
      <c r="E237" s="1" t="s">
        <v>184</v>
      </c>
      <c r="F237" s="4">
        <v>45209.946527777778</v>
      </c>
      <c r="G237" s="4">
        <v>45209.946527777778</v>
      </c>
      <c r="H237" s="1" t="s">
        <v>21</v>
      </c>
      <c r="I237" s="1" t="s">
        <v>22</v>
      </c>
      <c r="J237" s="1" t="s">
        <v>69</v>
      </c>
      <c r="L237" s="2">
        <v>2521.06</v>
      </c>
      <c r="M237" s="1" t="s">
        <v>0</v>
      </c>
    </row>
    <row r="238" spans="1:13" x14ac:dyDescent="0.2">
      <c r="A238" s="6" t="str">
        <f>VLOOKUP(J238,[1]Clientes!$C:$H,6,0)</f>
        <v>CBA</v>
      </c>
      <c r="B238" s="7">
        <f t="shared" si="4"/>
        <v>45210</v>
      </c>
      <c r="C238" s="1" t="s">
        <v>378</v>
      </c>
      <c r="D238" s="1" t="s">
        <v>183</v>
      </c>
      <c r="E238" s="1" t="s">
        <v>184</v>
      </c>
      <c r="F238" s="4">
        <v>45210.3125</v>
      </c>
      <c r="G238" s="4">
        <v>45210.3125</v>
      </c>
      <c r="H238" s="1" t="s">
        <v>21</v>
      </c>
      <c r="I238" s="1" t="s">
        <v>22</v>
      </c>
      <c r="J238" s="1" t="s">
        <v>69</v>
      </c>
      <c r="L238" s="2">
        <v>3355.97</v>
      </c>
      <c r="M238" s="1" t="s">
        <v>0</v>
      </c>
    </row>
    <row r="239" spans="1:13" x14ac:dyDescent="0.2">
      <c r="A239" s="6" t="str">
        <f>VLOOKUP(J239,[1]Clientes!$C:$H,6,0)</f>
        <v>CBA</v>
      </c>
      <c r="B239" s="7">
        <f t="shared" si="4"/>
        <v>45210</v>
      </c>
      <c r="C239" s="1" t="s">
        <v>379</v>
      </c>
      <c r="D239" s="1" t="s">
        <v>183</v>
      </c>
      <c r="E239" s="1" t="s">
        <v>184</v>
      </c>
      <c r="F239" s="4">
        <v>45210.426388888889</v>
      </c>
      <c r="G239" s="4">
        <v>45210.426388888889</v>
      </c>
      <c r="H239" s="1" t="s">
        <v>21</v>
      </c>
      <c r="I239" s="1" t="s">
        <v>22</v>
      </c>
      <c r="J239" s="1" t="s">
        <v>69</v>
      </c>
      <c r="L239" s="2">
        <v>5539.03</v>
      </c>
      <c r="M239" s="1" t="s">
        <v>0</v>
      </c>
    </row>
    <row r="240" spans="1:13" x14ac:dyDescent="0.2">
      <c r="A240" s="6" t="str">
        <f>VLOOKUP(J240,[1]Clientes!$C:$H,6,0)</f>
        <v>CBA</v>
      </c>
      <c r="B240" s="7">
        <f t="shared" si="4"/>
        <v>45210</v>
      </c>
      <c r="C240" s="1" t="s">
        <v>380</v>
      </c>
      <c r="D240" s="1" t="s">
        <v>183</v>
      </c>
      <c r="E240" s="1" t="s">
        <v>184</v>
      </c>
      <c r="F240" s="4">
        <v>45210.429861111108</v>
      </c>
      <c r="G240" s="4">
        <v>45210.429861111108</v>
      </c>
      <c r="H240" s="1" t="s">
        <v>21</v>
      </c>
      <c r="I240" s="1" t="s">
        <v>22</v>
      </c>
      <c r="J240" s="1" t="s">
        <v>381</v>
      </c>
      <c r="L240" s="2">
        <v>5272.27</v>
      </c>
      <c r="M240" s="1" t="s">
        <v>0</v>
      </c>
    </row>
    <row r="241" spans="1:13" x14ac:dyDescent="0.2">
      <c r="A241" s="6" t="str">
        <f>VLOOKUP(J241,[1]Clientes!$C:$H,6,0)</f>
        <v>CBA</v>
      </c>
      <c r="B241" s="7">
        <f t="shared" si="4"/>
        <v>45210</v>
      </c>
      <c r="C241" s="1" t="s">
        <v>382</v>
      </c>
      <c r="D241" s="1" t="s">
        <v>183</v>
      </c>
      <c r="E241" s="1" t="s">
        <v>184</v>
      </c>
      <c r="F241" s="4">
        <v>45210.51666666667</v>
      </c>
      <c r="G241" s="4">
        <v>45210.51666666667</v>
      </c>
      <c r="H241" s="1" t="s">
        <v>21</v>
      </c>
      <c r="I241" s="1" t="s">
        <v>22</v>
      </c>
      <c r="J241" s="1" t="s">
        <v>381</v>
      </c>
      <c r="L241" s="2">
        <v>5467.77</v>
      </c>
      <c r="M241" s="1" t="s">
        <v>0</v>
      </c>
    </row>
    <row r="242" spans="1:13" x14ac:dyDescent="0.2">
      <c r="A242" s="6" t="str">
        <f>VLOOKUP(J242,[1]Clientes!$C:$H,6,0)</f>
        <v>IMERYS</v>
      </c>
      <c r="B242" s="7">
        <f t="shared" si="4"/>
        <v>45210</v>
      </c>
      <c r="C242" s="1" t="s">
        <v>383</v>
      </c>
      <c r="D242" s="1" t="s">
        <v>183</v>
      </c>
      <c r="E242" s="1" t="s">
        <v>184</v>
      </c>
      <c r="F242" s="4">
        <v>45210.52847222222</v>
      </c>
      <c r="G242" s="4">
        <v>45210.52847222222</v>
      </c>
      <c r="H242" s="1" t="s">
        <v>21</v>
      </c>
      <c r="I242" s="1" t="s">
        <v>22</v>
      </c>
      <c r="J242" s="1" t="s">
        <v>188</v>
      </c>
      <c r="L242" s="2">
        <v>1150.0999999999999</v>
      </c>
      <c r="M242" s="1" t="s">
        <v>6</v>
      </c>
    </row>
    <row r="243" spans="1:13" x14ac:dyDescent="0.2">
      <c r="A243" s="6" t="str">
        <f>VLOOKUP(J243,[1]Clientes!$C:$H,6,0)</f>
        <v>IMERYS</v>
      </c>
      <c r="B243" s="7">
        <f t="shared" si="4"/>
        <v>45210</v>
      </c>
      <c r="C243" s="1" t="s">
        <v>384</v>
      </c>
      <c r="D243" s="1" t="s">
        <v>183</v>
      </c>
      <c r="E243" s="1" t="s">
        <v>184</v>
      </c>
      <c r="F243" s="4">
        <v>45210.552083333336</v>
      </c>
      <c r="G243" s="4">
        <v>45210.552083333336</v>
      </c>
      <c r="H243" s="1" t="s">
        <v>21</v>
      </c>
      <c r="I243" s="1" t="s">
        <v>22</v>
      </c>
      <c r="J243" s="1" t="s">
        <v>188</v>
      </c>
      <c r="L243" s="2">
        <v>1071.93</v>
      </c>
      <c r="M243" s="1" t="s">
        <v>6</v>
      </c>
    </row>
    <row r="244" spans="1:13" x14ac:dyDescent="0.2">
      <c r="A244" s="6" t="str">
        <f>VLOOKUP(J244,[1]Clientes!$C:$H,6,0)</f>
        <v>CBA</v>
      </c>
      <c r="B244" s="7">
        <f t="shared" si="4"/>
        <v>45210</v>
      </c>
      <c r="C244" s="1" t="s">
        <v>385</v>
      </c>
      <c r="D244" s="1" t="s">
        <v>183</v>
      </c>
      <c r="E244" s="1" t="s">
        <v>184</v>
      </c>
      <c r="F244" s="4">
        <v>45210.635416666664</v>
      </c>
      <c r="G244" s="4">
        <v>45210.635416666664</v>
      </c>
      <c r="H244" s="1" t="s">
        <v>21</v>
      </c>
      <c r="I244" s="1" t="s">
        <v>22</v>
      </c>
      <c r="J244" s="1" t="s">
        <v>69</v>
      </c>
      <c r="L244" s="2">
        <v>5539.47</v>
      </c>
      <c r="M244" s="1" t="s">
        <v>0</v>
      </c>
    </row>
    <row r="245" spans="1:13" x14ac:dyDescent="0.2">
      <c r="A245" s="6" t="s">
        <v>1</v>
      </c>
      <c r="B245" s="7">
        <f t="shared" si="4"/>
        <v>45210</v>
      </c>
      <c r="C245" s="1" t="s">
        <v>82</v>
      </c>
      <c r="D245" s="1" t="s">
        <v>19</v>
      </c>
      <c r="E245" s="1" t="s">
        <v>20</v>
      </c>
      <c r="F245" s="4">
        <v>45210.728472222225</v>
      </c>
      <c r="G245" s="4">
        <v>45210.728472222225</v>
      </c>
      <c r="H245" s="1" t="s">
        <v>21</v>
      </c>
      <c r="I245" s="1" t="s">
        <v>22</v>
      </c>
      <c r="J245" s="1" t="s">
        <v>25</v>
      </c>
      <c r="L245" s="2">
        <v>2025.09</v>
      </c>
      <c r="M245" s="1" t="s">
        <v>1</v>
      </c>
    </row>
    <row r="246" spans="1:13" x14ac:dyDescent="0.2">
      <c r="A246" s="6" t="str">
        <f>VLOOKUP(J246,[1]Clientes!$C:$H,6,0)</f>
        <v>CBA</v>
      </c>
      <c r="B246" s="7">
        <f t="shared" si="4"/>
        <v>45210</v>
      </c>
      <c r="C246" s="1" t="s">
        <v>386</v>
      </c>
      <c r="D246" s="1" t="s">
        <v>183</v>
      </c>
      <c r="E246" s="1" t="s">
        <v>184</v>
      </c>
      <c r="F246" s="4">
        <v>45210.746527777781</v>
      </c>
      <c r="G246" s="4">
        <v>45210.746527777781</v>
      </c>
      <c r="H246" s="1" t="s">
        <v>21</v>
      </c>
      <c r="I246" s="1" t="s">
        <v>22</v>
      </c>
      <c r="J246" s="1" t="s">
        <v>69</v>
      </c>
      <c r="L246" s="2">
        <v>1491.94</v>
      </c>
      <c r="M246" s="1" t="s">
        <v>0</v>
      </c>
    </row>
    <row r="247" spans="1:13" x14ac:dyDescent="0.2">
      <c r="A247" s="6" t="str">
        <f>VLOOKUP(J247,[1]Clientes!$C:$H,6,0)</f>
        <v>UNIPAR</v>
      </c>
      <c r="B247" s="7">
        <f t="shared" si="4"/>
        <v>45210</v>
      </c>
      <c r="C247" s="1" t="s">
        <v>387</v>
      </c>
      <c r="D247" s="1" t="s">
        <v>183</v>
      </c>
      <c r="E247" s="1" t="s">
        <v>184</v>
      </c>
      <c r="F247" s="4">
        <v>45210.74722222222</v>
      </c>
      <c r="G247" s="4">
        <v>45210.74722222222</v>
      </c>
      <c r="H247" s="1" t="s">
        <v>21</v>
      </c>
      <c r="I247" s="1" t="s">
        <v>22</v>
      </c>
      <c r="J247" s="1" t="s">
        <v>63</v>
      </c>
      <c r="L247" s="2">
        <v>13544.77</v>
      </c>
      <c r="M247" s="1" t="s">
        <v>647</v>
      </c>
    </row>
    <row r="248" spans="1:13" x14ac:dyDescent="0.2">
      <c r="A248" s="6" t="str">
        <f>VLOOKUP(J248,[1]Clientes!$C:$H,6,0)</f>
        <v>CBA</v>
      </c>
      <c r="B248" s="7">
        <f t="shared" si="4"/>
        <v>45210</v>
      </c>
      <c r="C248" s="1" t="s">
        <v>388</v>
      </c>
      <c r="D248" s="1" t="s">
        <v>183</v>
      </c>
      <c r="E248" s="1" t="s">
        <v>184</v>
      </c>
      <c r="F248" s="4">
        <v>45210.777777777781</v>
      </c>
      <c r="G248" s="4">
        <v>45210.777777777781</v>
      </c>
      <c r="H248" s="1" t="s">
        <v>21</v>
      </c>
      <c r="I248" s="1" t="s">
        <v>22</v>
      </c>
      <c r="J248" s="1" t="s">
        <v>69</v>
      </c>
      <c r="L248" s="2">
        <v>5426.39</v>
      </c>
      <c r="M248" s="1" t="s">
        <v>0</v>
      </c>
    </row>
    <row r="249" spans="1:13" x14ac:dyDescent="0.2">
      <c r="A249" s="6" t="str">
        <f>VLOOKUP(J249,[1]Clientes!$C:$H,6,0)</f>
        <v>CBA</v>
      </c>
      <c r="B249" s="7">
        <f t="shared" si="4"/>
        <v>45210</v>
      </c>
      <c r="C249" s="1" t="s">
        <v>389</v>
      </c>
      <c r="D249" s="1" t="s">
        <v>183</v>
      </c>
      <c r="E249" s="1" t="s">
        <v>184</v>
      </c>
      <c r="F249" s="4">
        <v>45210.847916666666</v>
      </c>
      <c r="G249" s="4">
        <v>45210.847916666666</v>
      </c>
      <c r="H249" s="1" t="s">
        <v>21</v>
      </c>
      <c r="I249" s="1" t="s">
        <v>22</v>
      </c>
      <c r="J249" s="1" t="s">
        <v>69</v>
      </c>
      <c r="L249" s="2">
        <v>2576.86</v>
      </c>
      <c r="M249" s="1" t="s">
        <v>0</v>
      </c>
    </row>
    <row r="250" spans="1:13" x14ac:dyDescent="0.2">
      <c r="A250" s="6" t="str">
        <f>VLOOKUP(J250,[1]Clientes!$C:$H,6,0)</f>
        <v>CBA</v>
      </c>
      <c r="B250" s="7">
        <f t="shared" si="4"/>
        <v>45210</v>
      </c>
      <c r="C250" s="1" t="s">
        <v>390</v>
      </c>
      <c r="D250" s="1" t="s">
        <v>183</v>
      </c>
      <c r="E250" s="1" t="s">
        <v>184</v>
      </c>
      <c r="F250" s="4">
        <v>45210.92291666667</v>
      </c>
      <c r="G250" s="4">
        <v>45210.92291666667</v>
      </c>
      <c r="H250" s="1" t="s">
        <v>21</v>
      </c>
      <c r="I250" s="1" t="s">
        <v>22</v>
      </c>
      <c r="J250" s="1" t="s">
        <v>69</v>
      </c>
      <c r="L250" s="2">
        <v>2654.97</v>
      </c>
      <c r="M250" s="1" t="s">
        <v>0</v>
      </c>
    </row>
    <row r="251" spans="1:13" x14ac:dyDescent="0.2">
      <c r="A251" s="6" t="str">
        <f>VLOOKUP(J251,[1]Clientes!$C:$H,6,0)</f>
        <v>CBA</v>
      </c>
      <c r="B251" s="7">
        <f t="shared" si="4"/>
        <v>45210</v>
      </c>
      <c r="C251" s="1" t="s">
        <v>391</v>
      </c>
      <c r="D251" s="1" t="s">
        <v>183</v>
      </c>
      <c r="E251" s="1" t="s">
        <v>184</v>
      </c>
      <c r="F251" s="4">
        <v>45210.938888888886</v>
      </c>
      <c r="G251" s="4">
        <v>45210.938888888886</v>
      </c>
      <c r="H251" s="1" t="s">
        <v>21</v>
      </c>
      <c r="I251" s="1" t="s">
        <v>22</v>
      </c>
      <c r="J251" s="1" t="s">
        <v>69</v>
      </c>
      <c r="L251" s="2">
        <v>1489.23</v>
      </c>
      <c r="M251" s="1" t="s">
        <v>0</v>
      </c>
    </row>
    <row r="252" spans="1:13" x14ac:dyDescent="0.2">
      <c r="A252" s="6" t="str">
        <f>VLOOKUP(J252,[1]Clientes!$C:$H,6,0)</f>
        <v>UNIPAR</v>
      </c>
      <c r="B252" s="7">
        <f t="shared" si="4"/>
        <v>45210</v>
      </c>
      <c r="C252" s="1" t="s">
        <v>392</v>
      </c>
      <c r="D252" s="1" t="s">
        <v>183</v>
      </c>
      <c r="E252" s="1" t="s">
        <v>184</v>
      </c>
      <c r="F252" s="4">
        <v>45210.956944444442</v>
      </c>
      <c r="G252" s="4">
        <v>45210.956944444442</v>
      </c>
      <c r="H252" s="1" t="s">
        <v>21</v>
      </c>
      <c r="I252" s="1" t="s">
        <v>22</v>
      </c>
      <c r="J252" s="1" t="s">
        <v>63</v>
      </c>
      <c r="L252" s="2">
        <v>8526.23</v>
      </c>
      <c r="M252" s="1" t="s">
        <v>647</v>
      </c>
    </row>
    <row r="253" spans="1:13" x14ac:dyDescent="0.2">
      <c r="A253" s="6" t="str">
        <f>VLOOKUP(J253,[1]Clientes!$C:$H,6,0)</f>
        <v>CBA</v>
      </c>
      <c r="B253" s="7">
        <f t="shared" si="4"/>
        <v>45210</v>
      </c>
      <c r="C253" s="1" t="s">
        <v>393</v>
      </c>
      <c r="D253" s="1" t="s">
        <v>183</v>
      </c>
      <c r="E253" s="1" t="s">
        <v>184</v>
      </c>
      <c r="F253" s="4">
        <v>45210.993750000001</v>
      </c>
      <c r="G253" s="4">
        <v>45210.993750000001</v>
      </c>
      <c r="H253" s="1" t="s">
        <v>21</v>
      </c>
      <c r="I253" s="1" t="s">
        <v>22</v>
      </c>
      <c r="J253" s="1" t="s">
        <v>69</v>
      </c>
      <c r="L253" s="2">
        <v>1484.34</v>
      </c>
      <c r="M253" s="1" t="s">
        <v>0</v>
      </c>
    </row>
    <row r="254" spans="1:13" x14ac:dyDescent="0.2">
      <c r="A254" s="6" t="str">
        <f>VLOOKUP(J254,[1]Clientes!$C:$H,6,0)</f>
        <v>UNIPAR</v>
      </c>
      <c r="B254" s="7">
        <f t="shared" ref="B254:B267" si="5">QUOTIENT(F254,1)</f>
        <v>45211</v>
      </c>
      <c r="C254" s="1" t="s">
        <v>394</v>
      </c>
      <c r="D254" s="1" t="s">
        <v>183</v>
      </c>
      <c r="E254" s="1" t="s">
        <v>184</v>
      </c>
      <c r="F254" s="4">
        <v>45211.006944444445</v>
      </c>
      <c r="G254" s="4">
        <v>45211.006944444445</v>
      </c>
      <c r="H254" s="1" t="s">
        <v>21</v>
      </c>
      <c r="I254" s="1" t="s">
        <v>22</v>
      </c>
      <c r="J254" s="1" t="s">
        <v>63</v>
      </c>
      <c r="L254" s="2">
        <v>1924.45</v>
      </c>
      <c r="M254" s="1" t="s">
        <v>647</v>
      </c>
    </row>
    <row r="255" spans="1:13" x14ac:dyDescent="0.2">
      <c r="A255" s="6" t="s">
        <v>1</v>
      </c>
      <c r="B255" s="7">
        <f t="shared" si="5"/>
        <v>45211</v>
      </c>
      <c r="C255" s="1" t="s">
        <v>83</v>
      </c>
      <c r="D255" s="1" t="s">
        <v>19</v>
      </c>
      <c r="E255" s="1" t="s">
        <v>20</v>
      </c>
      <c r="F255" s="4">
        <v>45211.604861111111</v>
      </c>
      <c r="G255" s="4">
        <v>45211.604861111111</v>
      </c>
      <c r="H255" s="1" t="s">
        <v>21</v>
      </c>
      <c r="I255" s="1" t="s">
        <v>22</v>
      </c>
      <c r="J255" s="1" t="s">
        <v>25</v>
      </c>
      <c r="L255" s="2">
        <v>2468.69</v>
      </c>
      <c r="M255" s="1" t="s">
        <v>1</v>
      </c>
    </row>
    <row r="256" spans="1:13" x14ac:dyDescent="0.2">
      <c r="A256" s="6" t="s">
        <v>1</v>
      </c>
      <c r="B256" s="7">
        <f t="shared" si="5"/>
        <v>45211</v>
      </c>
      <c r="C256" s="1" t="s">
        <v>84</v>
      </c>
      <c r="D256" s="1" t="s">
        <v>19</v>
      </c>
      <c r="E256" s="1" t="s">
        <v>20</v>
      </c>
      <c r="F256" s="4">
        <v>45211.612500000003</v>
      </c>
      <c r="G256" s="4">
        <v>45211.612500000003</v>
      </c>
      <c r="H256" s="1" t="s">
        <v>21</v>
      </c>
      <c r="I256" s="1" t="s">
        <v>22</v>
      </c>
      <c r="J256" s="1" t="s">
        <v>25</v>
      </c>
      <c r="L256" s="2">
        <v>2548.33</v>
      </c>
      <c r="M256" s="1" t="s">
        <v>1</v>
      </c>
    </row>
    <row r="257" spans="1:13" x14ac:dyDescent="0.2">
      <c r="A257" s="6" t="str">
        <f>VLOOKUP(J257,[1]Clientes!$C:$H,6,0)</f>
        <v>CBA</v>
      </c>
      <c r="B257" s="7">
        <f t="shared" si="5"/>
        <v>45211</v>
      </c>
      <c r="C257" s="1" t="s">
        <v>395</v>
      </c>
      <c r="D257" s="1" t="s">
        <v>183</v>
      </c>
      <c r="E257" s="1" t="s">
        <v>184</v>
      </c>
      <c r="F257" s="4">
        <v>45211.856249999997</v>
      </c>
      <c r="G257" s="4">
        <v>45211.856249999997</v>
      </c>
      <c r="H257" s="1" t="s">
        <v>21</v>
      </c>
      <c r="I257" s="1" t="s">
        <v>22</v>
      </c>
      <c r="J257" s="1" t="s">
        <v>381</v>
      </c>
      <c r="L257" s="2">
        <v>5458.16</v>
      </c>
      <c r="M257" s="1" t="s">
        <v>0</v>
      </c>
    </row>
    <row r="258" spans="1:13" x14ac:dyDescent="0.2">
      <c r="A258" s="6" t="s">
        <v>1</v>
      </c>
      <c r="B258" s="7">
        <f t="shared" si="5"/>
        <v>45212</v>
      </c>
      <c r="C258" s="1" t="s">
        <v>85</v>
      </c>
      <c r="D258" s="1" t="s">
        <v>19</v>
      </c>
      <c r="E258" s="1" t="s">
        <v>20</v>
      </c>
      <c r="F258" s="4">
        <v>45212.375694444447</v>
      </c>
      <c r="G258" s="4">
        <v>45212.375694444447</v>
      </c>
      <c r="H258" s="1" t="s">
        <v>21</v>
      </c>
      <c r="I258" s="1" t="s">
        <v>22</v>
      </c>
      <c r="J258" s="1" t="s">
        <v>25</v>
      </c>
      <c r="L258" s="2">
        <v>1479.92</v>
      </c>
      <c r="M258" s="1" t="s">
        <v>1</v>
      </c>
    </row>
    <row r="259" spans="1:13" x14ac:dyDescent="0.2">
      <c r="A259" s="6" t="s">
        <v>1</v>
      </c>
      <c r="B259" s="7">
        <f t="shared" si="5"/>
        <v>45212</v>
      </c>
      <c r="C259" s="1" t="s">
        <v>86</v>
      </c>
      <c r="D259" s="1" t="s">
        <v>19</v>
      </c>
      <c r="E259" s="1" t="s">
        <v>20</v>
      </c>
      <c r="F259" s="4">
        <v>45212.390277777777</v>
      </c>
      <c r="G259" s="4">
        <v>45212.390277777777</v>
      </c>
      <c r="H259" s="1" t="s">
        <v>21</v>
      </c>
      <c r="I259" s="1" t="s">
        <v>22</v>
      </c>
      <c r="J259" s="1" t="s">
        <v>25</v>
      </c>
      <c r="L259" s="2">
        <v>3000.34</v>
      </c>
      <c r="M259" s="1" t="s">
        <v>1</v>
      </c>
    </row>
    <row r="260" spans="1:13" x14ac:dyDescent="0.2">
      <c r="A260" s="6" t="str">
        <f>VLOOKUP(J260,[1]Clientes!$C:$H,6,0)</f>
        <v>UNIPAR</v>
      </c>
      <c r="B260" s="7">
        <f t="shared" si="5"/>
        <v>45212</v>
      </c>
      <c r="C260" s="1" t="s">
        <v>396</v>
      </c>
      <c r="D260" s="1" t="s">
        <v>183</v>
      </c>
      <c r="E260" s="1" t="s">
        <v>184</v>
      </c>
      <c r="F260" s="4">
        <v>45212.399305555555</v>
      </c>
      <c r="G260" s="4">
        <v>45212.399305555555</v>
      </c>
      <c r="H260" s="1" t="s">
        <v>21</v>
      </c>
      <c r="I260" s="1" t="s">
        <v>22</v>
      </c>
      <c r="J260" s="1" t="s">
        <v>63</v>
      </c>
      <c r="L260" s="2">
        <v>7884.14</v>
      </c>
      <c r="M260" s="1" t="s">
        <v>647</v>
      </c>
    </row>
    <row r="261" spans="1:13" x14ac:dyDescent="0.2">
      <c r="A261" s="6" t="s">
        <v>1</v>
      </c>
      <c r="B261" s="7">
        <f t="shared" si="5"/>
        <v>45212</v>
      </c>
      <c r="C261" s="1" t="s">
        <v>87</v>
      </c>
      <c r="D261" s="1" t="s">
        <v>19</v>
      </c>
      <c r="E261" s="1" t="s">
        <v>20</v>
      </c>
      <c r="F261" s="4">
        <v>45212.42083333333</v>
      </c>
      <c r="G261" s="4">
        <v>45212.42083333333</v>
      </c>
      <c r="H261" s="1" t="s">
        <v>21</v>
      </c>
      <c r="I261" s="1" t="s">
        <v>22</v>
      </c>
      <c r="J261" s="1" t="s">
        <v>25</v>
      </c>
      <c r="L261" s="2">
        <v>3000.34</v>
      </c>
      <c r="M261" s="1" t="s">
        <v>1</v>
      </c>
    </row>
    <row r="262" spans="1:13" x14ac:dyDescent="0.2">
      <c r="A262" s="6" t="str">
        <f>VLOOKUP(J262,[1]Clientes!$C:$H,6,0)</f>
        <v>IMERYS</v>
      </c>
      <c r="B262" s="7">
        <f t="shared" si="5"/>
        <v>45212</v>
      </c>
      <c r="C262" s="1" t="s">
        <v>397</v>
      </c>
      <c r="D262" s="1" t="s">
        <v>183</v>
      </c>
      <c r="E262" s="1" t="s">
        <v>184</v>
      </c>
      <c r="F262" s="4">
        <v>45212.533333333333</v>
      </c>
      <c r="G262" s="4">
        <v>45212.533333333333</v>
      </c>
      <c r="H262" s="1" t="s">
        <v>21</v>
      </c>
      <c r="I262" s="1" t="s">
        <v>22</v>
      </c>
      <c r="J262" s="1" t="s">
        <v>188</v>
      </c>
      <c r="L262" s="2">
        <v>1463.53</v>
      </c>
      <c r="M262" s="1" t="s">
        <v>6</v>
      </c>
    </row>
    <row r="263" spans="1:13" x14ac:dyDescent="0.2">
      <c r="A263" s="6" t="str">
        <f>VLOOKUP(J263,[1]Clientes!$C:$H,6,0)</f>
        <v>UNIPAR</v>
      </c>
      <c r="B263" s="7">
        <f t="shared" si="5"/>
        <v>45212</v>
      </c>
      <c r="C263" s="1" t="s">
        <v>398</v>
      </c>
      <c r="D263" s="1" t="s">
        <v>183</v>
      </c>
      <c r="E263" s="1" t="s">
        <v>184</v>
      </c>
      <c r="F263" s="4">
        <v>45212.640972222223</v>
      </c>
      <c r="G263" s="4">
        <v>45212.640972222223</v>
      </c>
      <c r="H263" s="1" t="s">
        <v>21</v>
      </c>
      <c r="I263" s="1" t="s">
        <v>22</v>
      </c>
      <c r="J263" s="1" t="s">
        <v>63</v>
      </c>
      <c r="L263" s="2">
        <v>3425.27</v>
      </c>
      <c r="M263" s="1" t="s">
        <v>647</v>
      </c>
    </row>
    <row r="264" spans="1:13" x14ac:dyDescent="0.2">
      <c r="A264" s="6" t="s">
        <v>1</v>
      </c>
      <c r="B264" s="7">
        <f t="shared" si="5"/>
        <v>45212</v>
      </c>
      <c r="C264" s="1" t="s">
        <v>88</v>
      </c>
      <c r="D264" s="1" t="s">
        <v>19</v>
      </c>
      <c r="E264" s="1" t="s">
        <v>20</v>
      </c>
      <c r="F264" s="4">
        <v>45212.650694444441</v>
      </c>
      <c r="G264" s="4">
        <v>45212.650694444441</v>
      </c>
      <c r="H264" s="1" t="s">
        <v>21</v>
      </c>
      <c r="I264" s="1" t="s">
        <v>22</v>
      </c>
      <c r="J264" s="1" t="s">
        <v>25</v>
      </c>
      <c r="L264" s="2">
        <v>3889.18</v>
      </c>
      <c r="M264" s="1" t="s">
        <v>1</v>
      </c>
    </row>
    <row r="265" spans="1:13" x14ac:dyDescent="0.2">
      <c r="A265" s="6" t="s">
        <v>1</v>
      </c>
      <c r="B265" s="7">
        <f t="shared" si="5"/>
        <v>45212</v>
      </c>
      <c r="C265" s="1" t="s">
        <v>89</v>
      </c>
      <c r="D265" s="1" t="s">
        <v>19</v>
      </c>
      <c r="E265" s="1" t="s">
        <v>20</v>
      </c>
      <c r="F265" s="4">
        <v>45212.69027777778</v>
      </c>
      <c r="G265" s="4">
        <v>45212.69027777778</v>
      </c>
      <c r="H265" s="1" t="s">
        <v>21</v>
      </c>
      <c r="I265" s="1" t="s">
        <v>22</v>
      </c>
      <c r="J265" s="1" t="s">
        <v>25</v>
      </c>
      <c r="L265" s="2">
        <v>3916.18</v>
      </c>
      <c r="M265" s="1" t="s">
        <v>1</v>
      </c>
    </row>
    <row r="266" spans="1:13" x14ac:dyDescent="0.2">
      <c r="A266" s="6" t="str">
        <f>VLOOKUP(J266,[1]Clientes!$C:$H,6,0)</f>
        <v>UNIPAR</v>
      </c>
      <c r="B266" s="7">
        <f t="shared" si="5"/>
        <v>45212</v>
      </c>
      <c r="C266" s="1" t="s">
        <v>399</v>
      </c>
      <c r="D266" s="1" t="s">
        <v>183</v>
      </c>
      <c r="E266" s="1" t="s">
        <v>184</v>
      </c>
      <c r="F266" s="4">
        <v>45212.972916666666</v>
      </c>
      <c r="G266" s="4">
        <v>45212.972916666666</v>
      </c>
      <c r="H266" s="1" t="s">
        <v>21</v>
      </c>
      <c r="I266" s="1" t="s">
        <v>22</v>
      </c>
      <c r="J266" s="1" t="s">
        <v>63</v>
      </c>
      <c r="L266" s="2">
        <v>9925.14</v>
      </c>
      <c r="M266" s="1" t="s">
        <v>647</v>
      </c>
    </row>
    <row r="267" spans="1:13" x14ac:dyDescent="0.2">
      <c r="A267" s="6" t="str">
        <f>VLOOKUP(J267,[1]Clientes!$C:$H,6,0)</f>
        <v>UNIPAR</v>
      </c>
      <c r="B267" s="7">
        <f t="shared" si="5"/>
        <v>45212</v>
      </c>
      <c r="C267" s="1" t="s">
        <v>90</v>
      </c>
      <c r="D267" s="1" t="s">
        <v>19</v>
      </c>
      <c r="E267" s="1" t="s">
        <v>20</v>
      </c>
      <c r="F267" s="4">
        <v>45212.976388888892</v>
      </c>
      <c r="G267" s="4">
        <v>45212.976388888892</v>
      </c>
      <c r="H267" s="1" t="s">
        <v>21</v>
      </c>
      <c r="I267" s="1" t="s">
        <v>22</v>
      </c>
      <c r="J267" s="1" t="s">
        <v>63</v>
      </c>
      <c r="L267" s="2">
        <v>5889.01</v>
      </c>
      <c r="M267" s="1" t="s">
        <v>647</v>
      </c>
    </row>
    <row r="268" spans="1:13" x14ac:dyDescent="0.2">
      <c r="A268" s="6" t="str">
        <f>VLOOKUP(J268,[1]Clientes!$C:$H,6,0)</f>
        <v>IMERYS</v>
      </c>
      <c r="B268" s="7">
        <f t="shared" ref="B268:B305" si="6">QUOTIENT(F268,1)</f>
        <v>45213</v>
      </c>
      <c r="C268" s="1" t="s">
        <v>400</v>
      </c>
      <c r="D268" s="1" t="s">
        <v>183</v>
      </c>
      <c r="E268" s="1" t="s">
        <v>184</v>
      </c>
      <c r="F268" s="4">
        <v>45213.440972222219</v>
      </c>
      <c r="G268" s="4">
        <v>45213.440972222219</v>
      </c>
      <c r="H268" s="1" t="s">
        <v>21</v>
      </c>
      <c r="I268" s="1" t="s">
        <v>22</v>
      </c>
      <c r="J268" s="1" t="s">
        <v>188</v>
      </c>
      <c r="L268" s="2">
        <v>1077.95</v>
      </c>
      <c r="M268" s="1" t="s">
        <v>6</v>
      </c>
    </row>
    <row r="269" spans="1:13" x14ac:dyDescent="0.2">
      <c r="A269" s="6" t="s">
        <v>1</v>
      </c>
      <c r="B269" s="7">
        <f t="shared" si="6"/>
        <v>45213</v>
      </c>
      <c r="C269" s="1" t="s">
        <v>91</v>
      </c>
      <c r="D269" s="1" t="s">
        <v>19</v>
      </c>
      <c r="E269" s="1" t="s">
        <v>20</v>
      </c>
      <c r="F269" s="4">
        <v>45213.447916666664</v>
      </c>
      <c r="G269" s="4">
        <v>45213.447916666664</v>
      </c>
      <c r="H269" s="1" t="s">
        <v>21</v>
      </c>
      <c r="I269" s="1" t="s">
        <v>22</v>
      </c>
      <c r="J269" s="1" t="s">
        <v>25</v>
      </c>
      <c r="L269" s="2">
        <v>1695.13</v>
      </c>
      <c r="M269" s="1" t="s">
        <v>1</v>
      </c>
    </row>
    <row r="270" spans="1:13" x14ac:dyDescent="0.2">
      <c r="A270" s="6" t="str">
        <f>VLOOKUP(J270,[1]Clientes!$C:$H,6,0)</f>
        <v>CBA</v>
      </c>
      <c r="B270" s="7">
        <f t="shared" si="6"/>
        <v>45215</v>
      </c>
      <c r="C270" s="1" t="s">
        <v>401</v>
      </c>
      <c r="D270" s="1" t="s">
        <v>183</v>
      </c>
      <c r="E270" s="1" t="s">
        <v>184</v>
      </c>
      <c r="F270" s="4">
        <v>45215.398611111108</v>
      </c>
      <c r="G270" s="4">
        <v>45215.398611111108</v>
      </c>
      <c r="H270" s="1" t="s">
        <v>21</v>
      </c>
      <c r="I270" s="1" t="s">
        <v>22</v>
      </c>
      <c r="J270" s="1" t="s">
        <v>210</v>
      </c>
      <c r="L270" s="2">
        <v>3458.41</v>
      </c>
      <c r="M270" s="1" t="s">
        <v>0</v>
      </c>
    </row>
    <row r="271" spans="1:13" x14ac:dyDescent="0.2">
      <c r="A271" s="6" t="str">
        <f>VLOOKUP(J271,[1]Clientes!$C:$H,6,0)</f>
        <v>CBA</v>
      </c>
      <c r="B271" s="7">
        <f t="shared" si="6"/>
        <v>45215</v>
      </c>
      <c r="C271" s="1" t="s">
        <v>402</v>
      </c>
      <c r="D271" s="1" t="s">
        <v>183</v>
      </c>
      <c r="E271" s="1" t="s">
        <v>184</v>
      </c>
      <c r="F271" s="4">
        <v>45215.4</v>
      </c>
      <c r="G271" s="4">
        <v>45215.4</v>
      </c>
      <c r="H271" s="1" t="s">
        <v>21</v>
      </c>
      <c r="I271" s="1" t="s">
        <v>22</v>
      </c>
      <c r="J271" s="1" t="s">
        <v>210</v>
      </c>
      <c r="L271" s="2">
        <v>3459.35</v>
      </c>
      <c r="M271" s="1" t="s">
        <v>0</v>
      </c>
    </row>
    <row r="272" spans="1:13" x14ac:dyDescent="0.2">
      <c r="A272" s="6" t="str">
        <f>VLOOKUP(J272,[1]Clientes!$C:$H,6,0)</f>
        <v>CBA</v>
      </c>
      <c r="B272" s="7">
        <f t="shared" si="6"/>
        <v>45215</v>
      </c>
      <c r="C272" s="1" t="s">
        <v>403</v>
      </c>
      <c r="D272" s="1" t="s">
        <v>183</v>
      </c>
      <c r="E272" s="1" t="s">
        <v>184</v>
      </c>
      <c r="F272" s="4">
        <v>45215.444444444445</v>
      </c>
      <c r="G272" s="4">
        <v>45215.444444444445</v>
      </c>
      <c r="H272" s="1" t="s">
        <v>21</v>
      </c>
      <c r="I272" s="1" t="s">
        <v>22</v>
      </c>
      <c r="J272" s="1" t="s">
        <v>69</v>
      </c>
      <c r="L272" s="2">
        <v>3356.8</v>
      </c>
      <c r="M272" s="1" t="s">
        <v>0</v>
      </c>
    </row>
    <row r="273" spans="1:13" x14ac:dyDescent="0.2">
      <c r="A273" s="6" t="str">
        <f>VLOOKUP(J273,[1]Clientes!$C:$H,6,0)</f>
        <v>CBA</v>
      </c>
      <c r="B273" s="7">
        <f t="shared" si="6"/>
        <v>45215</v>
      </c>
      <c r="C273" s="1" t="s">
        <v>404</v>
      </c>
      <c r="D273" s="1" t="s">
        <v>183</v>
      </c>
      <c r="E273" s="1" t="s">
        <v>184</v>
      </c>
      <c r="F273" s="4">
        <v>45215.451388888891</v>
      </c>
      <c r="G273" s="4">
        <v>45215.451388888891</v>
      </c>
      <c r="H273" s="1" t="s">
        <v>21</v>
      </c>
      <c r="I273" s="1" t="s">
        <v>22</v>
      </c>
      <c r="J273" s="1" t="s">
        <v>69</v>
      </c>
      <c r="L273" s="2">
        <v>1520.31</v>
      </c>
      <c r="M273" s="1" t="s">
        <v>0</v>
      </c>
    </row>
    <row r="274" spans="1:13" x14ac:dyDescent="0.2">
      <c r="A274" s="6" t="str">
        <f>VLOOKUP(J274,[1]Clientes!$C:$H,6,0)</f>
        <v>CBA</v>
      </c>
      <c r="B274" s="7">
        <f t="shared" si="6"/>
        <v>45215</v>
      </c>
      <c r="C274" s="1" t="s">
        <v>179</v>
      </c>
      <c r="D274" s="1" t="s">
        <v>180</v>
      </c>
      <c r="E274" s="1" t="s">
        <v>181</v>
      </c>
      <c r="F274" s="4">
        <v>45215.466666666667</v>
      </c>
      <c r="G274" s="4">
        <v>45215.466666666667</v>
      </c>
      <c r="H274" s="1" t="s">
        <v>21</v>
      </c>
      <c r="I274" s="1" t="s">
        <v>181</v>
      </c>
      <c r="J274" s="1" t="s">
        <v>69</v>
      </c>
      <c r="L274" s="2">
        <v>79431.75</v>
      </c>
      <c r="M274" s="1" t="s">
        <v>0</v>
      </c>
    </row>
    <row r="275" spans="1:13" x14ac:dyDescent="0.2">
      <c r="A275" s="6" t="str">
        <f>VLOOKUP(J275,[1]Clientes!$C:$H,6,0)</f>
        <v>LANXESS</v>
      </c>
      <c r="B275" s="7">
        <f t="shared" si="6"/>
        <v>45215</v>
      </c>
      <c r="C275" s="1" t="s">
        <v>405</v>
      </c>
      <c r="D275" s="1" t="s">
        <v>183</v>
      </c>
      <c r="E275" s="1" t="s">
        <v>184</v>
      </c>
      <c r="F275" s="4">
        <v>45215.469444444447</v>
      </c>
      <c r="G275" s="4">
        <v>45215.469444444447</v>
      </c>
      <c r="H275" s="1" t="s">
        <v>21</v>
      </c>
      <c r="I275" s="1" t="s">
        <v>22</v>
      </c>
      <c r="J275" s="1" t="s">
        <v>202</v>
      </c>
      <c r="L275" s="2">
        <v>1132.92</v>
      </c>
      <c r="M275" s="1" t="s">
        <v>648</v>
      </c>
    </row>
    <row r="276" spans="1:13" x14ac:dyDescent="0.2">
      <c r="A276" s="6" t="str">
        <f>VLOOKUP(J276,[1]Clientes!$C:$H,6,0)</f>
        <v>LANXESS</v>
      </c>
      <c r="B276" s="7">
        <f t="shared" si="6"/>
        <v>45215</v>
      </c>
      <c r="C276" s="1" t="s">
        <v>406</v>
      </c>
      <c r="D276" s="1" t="s">
        <v>183</v>
      </c>
      <c r="E276" s="1" t="s">
        <v>184</v>
      </c>
      <c r="F276" s="4">
        <v>45215.478472222225</v>
      </c>
      <c r="G276" s="4">
        <v>45215.478472222225</v>
      </c>
      <c r="H276" s="1" t="s">
        <v>21</v>
      </c>
      <c r="I276" s="1" t="s">
        <v>22</v>
      </c>
      <c r="J276" s="1" t="s">
        <v>221</v>
      </c>
      <c r="L276" s="2">
        <v>2206.7399999999998</v>
      </c>
      <c r="M276" s="1" t="s">
        <v>648</v>
      </c>
    </row>
    <row r="277" spans="1:13" x14ac:dyDescent="0.2">
      <c r="A277" s="6" t="str">
        <f>VLOOKUP(J277,[1]Clientes!$C:$H,6,0)</f>
        <v>UNIPAR</v>
      </c>
      <c r="B277" s="7">
        <f t="shared" si="6"/>
        <v>45215</v>
      </c>
      <c r="C277" s="1" t="s">
        <v>407</v>
      </c>
      <c r="D277" s="1" t="s">
        <v>183</v>
      </c>
      <c r="E277" s="1" t="s">
        <v>184</v>
      </c>
      <c r="F277" s="4">
        <v>45215.490972222222</v>
      </c>
      <c r="G277" s="4">
        <v>45215.490972222222</v>
      </c>
      <c r="H277" s="1" t="s">
        <v>21</v>
      </c>
      <c r="I277" s="1" t="s">
        <v>22</v>
      </c>
      <c r="J277" s="1" t="s">
        <v>63</v>
      </c>
      <c r="L277" s="2">
        <v>5996.51</v>
      </c>
      <c r="M277" s="1" t="s">
        <v>647</v>
      </c>
    </row>
    <row r="278" spans="1:13" x14ac:dyDescent="0.2">
      <c r="A278" s="6" t="s">
        <v>1</v>
      </c>
      <c r="B278" s="7">
        <f t="shared" si="6"/>
        <v>45215</v>
      </c>
      <c r="C278" s="1" t="s">
        <v>92</v>
      </c>
      <c r="D278" s="1" t="s">
        <v>19</v>
      </c>
      <c r="E278" s="1" t="s">
        <v>20</v>
      </c>
      <c r="F278" s="4">
        <v>45215.519444444442</v>
      </c>
      <c r="G278" s="4">
        <v>45215.519444444442</v>
      </c>
      <c r="H278" s="1" t="s">
        <v>21</v>
      </c>
      <c r="I278" s="1" t="s">
        <v>22</v>
      </c>
      <c r="J278" s="1" t="s">
        <v>25</v>
      </c>
      <c r="L278" s="2">
        <v>1511.22</v>
      </c>
      <c r="M278" s="1" t="s">
        <v>1</v>
      </c>
    </row>
    <row r="279" spans="1:13" x14ac:dyDescent="0.2">
      <c r="A279" s="6" t="s">
        <v>1</v>
      </c>
      <c r="B279" s="7">
        <f t="shared" si="6"/>
        <v>45215</v>
      </c>
      <c r="C279" s="1" t="s">
        <v>93</v>
      </c>
      <c r="D279" s="1" t="s">
        <v>19</v>
      </c>
      <c r="E279" s="1" t="s">
        <v>20</v>
      </c>
      <c r="F279" s="4">
        <v>45215.529166666667</v>
      </c>
      <c r="G279" s="4">
        <v>45215.529166666667</v>
      </c>
      <c r="H279" s="1" t="s">
        <v>21</v>
      </c>
      <c r="I279" s="1" t="s">
        <v>22</v>
      </c>
      <c r="J279" s="1" t="s">
        <v>25</v>
      </c>
      <c r="L279" s="2">
        <v>1511.22</v>
      </c>
      <c r="M279" s="1" t="s">
        <v>1</v>
      </c>
    </row>
    <row r="280" spans="1:13" x14ac:dyDescent="0.2">
      <c r="A280" s="6" t="str">
        <f>VLOOKUP(J280,[1]Clientes!$C:$H,6,0)</f>
        <v>CBA</v>
      </c>
      <c r="B280" s="7">
        <f t="shared" si="6"/>
        <v>45215</v>
      </c>
      <c r="C280" s="1" t="s">
        <v>408</v>
      </c>
      <c r="D280" s="1" t="s">
        <v>183</v>
      </c>
      <c r="E280" s="1" t="s">
        <v>184</v>
      </c>
      <c r="F280" s="4">
        <v>45215.554861111108</v>
      </c>
      <c r="G280" s="4">
        <v>45215.554861111108</v>
      </c>
      <c r="H280" s="1" t="s">
        <v>21</v>
      </c>
      <c r="I280" s="1" t="s">
        <v>22</v>
      </c>
      <c r="J280" s="1" t="s">
        <v>69</v>
      </c>
      <c r="L280" s="2">
        <v>1506.83</v>
      </c>
      <c r="M280" s="1" t="s">
        <v>0</v>
      </c>
    </row>
    <row r="281" spans="1:13" x14ac:dyDescent="0.2">
      <c r="A281" s="6" t="str">
        <f>VLOOKUP(J281,[1]Clientes!$C:$H,6,0)</f>
        <v>CBA</v>
      </c>
      <c r="B281" s="7">
        <f t="shared" si="6"/>
        <v>45215</v>
      </c>
      <c r="C281" s="1" t="s">
        <v>409</v>
      </c>
      <c r="D281" s="1" t="s">
        <v>183</v>
      </c>
      <c r="E281" s="1" t="s">
        <v>184</v>
      </c>
      <c r="F281" s="4">
        <v>45215.582638888889</v>
      </c>
      <c r="G281" s="4">
        <v>45215.582638888889</v>
      </c>
      <c r="H281" s="1" t="s">
        <v>21</v>
      </c>
      <c r="I281" s="1" t="s">
        <v>22</v>
      </c>
      <c r="J281" s="1" t="s">
        <v>381</v>
      </c>
      <c r="L281" s="2">
        <v>5458.81</v>
      </c>
      <c r="M281" s="1" t="s">
        <v>0</v>
      </c>
    </row>
    <row r="282" spans="1:13" x14ac:dyDescent="0.2">
      <c r="A282" s="6" t="str">
        <f>VLOOKUP(J282,[1]Clientes!$C:$H,6,0)</f>
        <v>UNIPAR</v>
      </c>
      <c r="B282" s="7">
        <f t="shared" si="6"/>
        <v>45215</v>
      </c>
      <c r="C282" s="1" t="s">
        <v>410</v>
      </c>
      <c r="D282" s="1" t="s">
        <v>183</v>
      </c>
      <c r="E282" s="1" t="s">
        <v>184</v>
      </c>
      <c r="F282" s="4">
        <v>45215.607638888891</v>
      </c>
      <c r="G282" s="4">
        <v>45215.607638888891</v>
      </c>
      <c r="H282" s="1" t="s">
        <v>21</v>
      </c>
      <c r="I282" s="1" t="s">
        <v>22</v>
      </c>
      <c r="J282" s="1" t="s">
        <v>63</v>
      </c>
      <c r="L282" s="2">
        <v>4986</v>
      </c>
      <c r="M282" s="1" t="s">
        <v>647</v>
      </c>
    </row>
    <row r="283" spans="1:13" x14ac:dyDescent="0.2">
      <c r="A283" s="6" t="str">
        <f>VLOOKUP(J283,[1]Clientes!$C:$H,6,0)</f>
        <v>CBA</v>
      </c>
      <c r="B283" s="7">
        <f t="shared" si="6"/>
        <v>45215</v>
      </c>
      <c r="C283" s="1" t="s">
        <v>411</v>
      </c>
      <c r="D283" s="1" t="s">
        <v>183</v>
      </c>
      <c r="E283" s="1" t="s">
        <v>184</v>
      </c>
      <c r="F283" s="4">
        <v>45215.611111111109</v>
      </c>
      <c r="G283" s="4">
        <v>45215.611111111109</v>
      </c>
      <c r="H283" s="1" t="s">
        <v>21</v>
      </c>
      <c r="I283" s="1" t="s">
        <v>22</v>
      </c>
      <c r="J283" s="1" t="s">
        <v>381</v>
      </c>
      <c r="L283" s="2">
        <v>5459.14</v>
      </c>
      <c r="M283" s="1" t="s">
        <v>0</v>
      </c>
    </row>
    <row r="284" spans="1:13" x14ac:dyDescent="0.2">
      <c r="A284" s="6" t="str">
        <f>VLOOKUP(J284,[1]Clientes!$C:$H,6,0)</f>
        <v>CBA</v>
      </c>
      <c r="B284" s="7">
        <f t="shared" si="6"/>
        <v>45215</v>
      </c>
      <c r="C284" s="1" t="s">
        <v>412</v>
      </c>
      <c r="D284" s="1" t="s">
        <v>183</v>
      </c>
      <c r="E284" s="1" t="s">
        <v>184</v>
      </c>
      <c r="F284" s="4">
        <v>45215.611111111109</v>
      </c>
      <c r="G284" s="4">
        <v>45215.611111111109</v>
      </c>
      <c r="H284" s="1" t="s">
        <v>21</v>
      </c>
      <c r="I284" s="1" t="s">
        <v>22</v>
      </c>
      <c r="J284" s="1" t="s">
        <v>69</v>
      </c>
      <c r="L284" s="2">
        <v>1489.95</v>
      </c>
      <c r="M284" s="1" t="s">
        <v>0</v>
      </c>
    </row>
    <row r="285" spans="1:13" x14ac:dyDescent="0.2">
      <c r="A285" s="6" t="s">
        <v>1</v>
      </c>
      <c r="B285" s="7">
        <f t="shared" si="6"/>
        <v>45215</v>
      </c>
      <c r="C285" s="1" t="s">
        <v>94</v>
      </c>
      <c r="D285" s="1" t="s">
        <v>19</v>
      </c>
      <c r="E285" s="1" t="s">
        <v>20</v>
      </c>
      <c r="F285" s="4">
        <v>45215.645138888889</v>
      </c>
      <c r="G285" s="4">
        <v>45215.645138888889</v>
      </c>
      <c r="H285" s="1" t="s">
        <v>21</v>
      </c>
      <c r="I285" s="1" t="s">
        <v>22</v>
      </c>
      <c r="J285" s="1" t="s">
        <v>25</v>
      </c>
      <c r="L285" s="2">
        <v>1511.22</v>
      </c>
      <c r="M285" s="1" t="s">
        <v>1</v>
      </c>
    </row>
    <row r="286" spans="1:13" x14ac:dyDescent="0.2">
      <c r="A286" s="6" t="s">
        <v>1</v>
      </c>
      <c r="B286" s="7">
        <f t="shared" si="6"/>
        <v>45215</v>
      </c>
      <c r="C286" s="1" t="s">
        <v>95</v>
      </c>
      <c r="D286" s="1" t="s">
        <v>19</v>
      </c>
      <c r="E286" s="1" t="s">
        <v>20</v>
      </c>
      <c r="F286" s="4">
        <v>45215.65</v>
      </c>
      <c r="G286" s="4">
        <v>45215.65</v>
      </c>
      <c r="H286" s="1" t="s">
        <v>21</v>
      </c>
      <c r="I286" s="1" t="s">
        <v>22</v>
      </c>
      <c r="J286" s="1" t="s">
        <v>25</v>
      </c>
      <c r="L286" s="2">
        <v>1479.92</v>
      </c>
      <c r="M286" s="1" t="s">
        <v>1</v>
      </c>
    </row>
    <row r="287" spans="1:13" x14ac:dyDescent="0.2">
      <c r="A287" s="6" t="str">
        <f>VLOOKUP(J287,[1]Clientes!$C:$H,6,0)</f>
        <v>CBA</v>
      </c>
      <c r="B287" s="7">
        <f t="shared" si="6"/>
        <v>45215</v>
      </c>
      <c r="C287" s="1" t="s">
        <v>413</v>
      </c>
      <c r="D287" s="1" t="s">
        <v>183</v>
      </c>
      <c r="E287" s="1" t="s">
        <v>184</v>
      </c>
      <c r="F287" s="4">
        <v>45215.652777777781</v>
      </c>
      <c r="G287" s="4">
        <v>45215.652777777781</v>
      </c>
      <c r="H287" s="1" t="s">
        <v>21</v>
      </c>
      <c r="I287" s="1" t="s">
        <v>22</v>
      </c>
      <c r="J287" s="1" t="s">
        <v>69</v>
      </c>
      <c r="L287" s="2">
        <v>2665.72</v>
      </c>
      <c r="M287" s="1" t="s">
        <v>0</v>
      </c>
    </row>
    <row r="288" spans="1:13" x14ac:dyDescent="0.2">
      <c r="A288" s="6" t="s">
        <v>1</v>
      </c>
      <c r="B288" s="7">
        <f t="shared" si="6"/>
        <v>45215</v>
      </c>
      <c r="C288" s="1" t="s">
        <v>96</v>
      </c>
      <c r="D288" s="1" t="s">
        <v>19</v>
      </c>
      <c r="E288" s="1" t="s">
        <v>20</v>
      </c>
      <c r="F288" s="4">
        <v>45215.65347222222</v>
      </c>
      <c r="G288" s="4">
        <v>45215.65347222222</v>
      </c>
      <c r="H288" s="1" t="s">
        <v>21</v>
      </c>
      <c r="I288" s="1" t="s">
        <v>22</v>
      </c>
      <c r="J288" s="1" t="s">
        <v>25</v>
      </c>
      <c r="L288" s="2">
        <v>1511.22</v>
      </c>
      <c r="M288" s="1" t="s">
        <v>1</v>
      </c>
    </row>
    <row r="289" spans="1:13" x14ac:dyDescent="0.2">
      <c r="A289" s="6" t="str">
        <f>VLOOKUP(J289,[1]Clientes!$C:$H,6,0)</f>
        <v>CBA</v>
      </c>
      <c r="B289" s="7">
        <f t="shared" si="6"/>
        <v>45215</v>
      </c>
      <c r="C289" s="1" t="s">
        <v>414</v>
      </c>
      <c r="D289" s="1" t="s">
        <v>183</v>
      </c>
      <c r="E289" s="1" t="s">
        <v>184</v>
      </c>
      <c r="F289" s="4">
        <v>45215.67291666667</v>
      </c>
      <c r="G289" s="4">
        <v>45215.67291666667</v>
      </c>
      <c r="H289" s="1" t="s">
        <v>21</v>
      </c>
      <c r="I289" s="1" t="s">
        <v>22</v>
      </c>
      <c r="J289" s="1" t="s">
        <v>69</v>
      </c>
      <c r="L289" s="2">
        <v>3421.88</v>
      </c>
      <c r="M289" s="1" t="s">
        <v>0</v>
      </c>
    </row>
    <row r="290" spans="1:13" x14ac:dyDescent="0.2">
      <c r="A290" s="6" t="str">
        <f>VLOOKUP(J290,[1]Clientes!$C:$H,6,0)</f>
        <v>UNIPAR</v>
      </c>
      <c r="B290" s="7">
        <f t="shared" si="6"/>
        <v>45215</v>
      </c>
      <c r="C290" s="1" t="s">
        <v>415</v>
      </c>
      <c r="D290" s="1" t="s">
        <v>183</v>
      </c>
      <c r="E290" s="1" t="s">
        <v>184</v>
      </c>
      <c r="F290" s="4">
        <v>45215.770833333336</v>
      </c>
      <c r="G290" s="4">
        <v>45215.770833333336</v>
      </c>
      <c r="H290" s="1" t="s">
        <v>21</v>
      </c>
      <c r="I290" s="1" t="s">
        <v>22</v>
      </c>
      <c r="J290" s="1" t="s">
        <v>63</v>
      </c>
      <c r="L290" s="2">
        <v>6406.57</v>
      </c>
      <c r="M290" s="1" t="s">
        <v>647</v>
      </c>
    </row>
    <row r="291" spans="1:13" x14ac:dyDescent="0.2">
      <c r="A291" s="6" t="str">
        <f>VLOOKUP(J291,[1]Clientes!$C:$H,6,0)</f>
        <v>CBA</v>
      </c>
      <c r="B291" s="7">
        <f t="shared" si="6"/>
        <v>45215</v>
      </c>
      <c r="C291" s="1" t="s">
        <v>416</v>
      </c>
      <c r="D291" s="1" t="s">
        <v>183</v>
      </c>
      <c r="E291" s="1" t="s">
        <v>184</v>
      </c>
      <c r="F291" s="4">
        <v>45215.772222222222</v>
      </c>
      <c r="G291" s="4">
        <v>45215.772222222222</v>
      </c>
      <c r="H291" s="1" t="s">
        <v>21</v>
      </c>
      <c r="I291" s="1" t="s">
        <v>22</v>
      </c>
      <c r="J291" s="1" t="s">
        <v>69</v>
      </c>
      <c r="L291" s="2">
        <v>3356.08</v>
      </c>
      <c r="M291" s="1" t="s">
        <v>0</v>
      </c>
    </row>
    <row r="292" spans="1:13" x14ac:dyDescent="0.2">
      <c r="A292" s="6" t="str">
        <f>VLOOKUP(J292,[1]Clientes!$C:$H,6,0)</f>
        <v>CBA</v>
      </c>
      <c r="B292" s="7">
        <f t="shared" si="6"/>
        <v>45215</v>
      </c>
      <c r="C292" s="1" t="s">
        <v>417</v>
      </c>
      <c r="D292" s="1" t="s">
        <v>183</v>
      </c>
      <c r="E292" s="1" t="s">
        <v>184</v>
      </c>
      <c r="F292" s="4">
        <v>45215.836111111108</v>
      </c>
      <c r="G292" s="4">
        <v>45215.836111111108</v>
      </c>
      <c r="H292" s="1" t="s">
        <v>21</v>
      </c>
      <c r="I292" s="1" t="s">
        <v>22</v>
      </c>
      <c r="J292" s="1" t="s">
        <v>69</v>
      </c>
      <c r="L292" s="2">
        <v>1495.77</v>
      </c>
      <c r="M292" s="1" t="s">
        <v>0</v>
      </c>
    </row>
    <row r="293" spans="1:13" x14ac:dyDescent="0.2">
      <c r="A293" s="6" t="str">
        <f>VLOOKUP(J293,[1]Clientes!$C:$H,6,0)</f>
        <v>CBA</v>
      </c>
      <c r="B293" s="7">
        <f t="shared" si="6"/>
        <v>45215</v>
      </c>
      <c r="C293" s="1" t="s">
        <v>418</v>
      </c>
      <c r="D293" s="1" t="s">
        <v>183</v>
      </c>
      <c r="E293" s="1" t="s">
        <v>184</v>
      </c>
      <c r="F293" s="4">
        <v>45215.897222222222</v>
      </c>
      <c r="G293" s="4">
        <v>45215.897222222222</v>
      </c>
      <c r="H293" s="1" t="s">
        <v>21</v>
      </c>
      <c r="I293" s="1" t="s">
        <v>22</v>
      </c>
      <c r="J293" s="1" t="s">
        <v>69</v>
      </c>
      <c r="L293" s="2">
        <v>2499.6</v>
      </c>
      <c r="M293" s="1" t="s">
        <v>0</v>
      </c>
    </row>
    <row r="294" spans="1:13" x14ac:dyDescent="0.2">
      <c r="A294" s="6" t="str">
        <f>VLOOKUP(J294,[1]Clientes!$C:$H,6,0)</f>
        <v>UNIPAR</v>
      </c>
      <c r="B294" s="7">
        <f t="shared" si="6"/>
        <v>45215</v>
      </c>
      <c r="C294" s="1" t="s">
        <v>419</v>
      </c>
      <c r="D294" s="1" t="s">
        <v>183</v>
      </c>
      <c r="E294" s="1" t="s">
        <v>184</v>
      </c>
      <c r="F294" s="4">
        <v>45215.901388888888</v>
      </c>
      <c r="G294" s="4">
        <v>45215.901388888888</v>
      </c>
      <c r="H294" s="1" t="s">
        <v>21</v>
      </c>
      <c r="I294" s="1" t="s">
        <v>22</v>
      </c>
      <c r="J294" s="1" t="s">
        <v>63</v>
      </c>
      <c r="L294" s="2">
        <v>5996.51</v>
      </c>
      <c r="M294" s="1" t="s">
        <v>647</v>
      </c>
    </row>
    <row r="295" spans="1:13" x14ac:dyDescent="0.2">
      <c r="A295" s="6" t="str">
        <f>VLOOKUP(J295,[1]Clientes!$C:$H,6,0)</f>
        <v>UNIPAR</v>
      </c>
      <c r="B295" s="7">
        <f t="shared" si="6"/>
        <v>45215</v>
      </c>
      <c r="C295" s="1" t="s">
        <v>420</v>
      </c>
      <c r="D295" s="1" t="s">
        <v>183</v>
      </c>
      <c r="E295" s="1" t="s">
        <v>184</v>
      </c>
      <c r="F295" s="4">
        <v>45215.959027777775</v>
      </c>
      <c r="G295" s="4">
        <v>45215.959027777775</v>
      </c>
      <c r="H295" s="1" t="s">
        <v>21</v>
      </c>
      <c r="I295" s="1" t="s">
        <v>22</v>
      </c>
      <c r="J295" s="1" t="s">
        <v>63</v>
      </c>
      <c r="L295" s="2">
        <v>3425.27</v>
      </c>
      <c r="M295" s="1" t="s">
        <v>647</v>
      </c>
    </row>
    <row r="296" spans="1:13" x14ac:dyDescent="0.2">
      <c r="A296" s="6" t="str">
        <f>VLOOKUP(J296,[1]Clientes!$C:$H,6,0)</f>
        <v>CBA</v>
      </c>
      <c r="B296" s="7">
        <f t="shared" si="6"/>
        <v>45216</v>
      </c>
      <c r="C296" s="1" t="s">
        <v>421</v>
      </c>
      <c r="D296" s="1" t="s">
        <v>183</v>
      </c>
      <c r="E296" s="1" t="s">
        <v>184</v>
      </c>
      <c r="F296" s="4">
        <v>45216.335416666669</v>
      </c>
      <c r="G296" s="4">
        <v>45216.335416666669</v>
      </c>
      <c r="H296" s="1" t="s">
        <v>21</v>
      </c>
      <c r="I296" s="1" t="s">
        <v>22</v>
      </c>
      <c r="J296" s="1" t="s">
        <v>69</v>
      </c>
      <c r="L296" s="2">
        <v>3420.66</v>
      </c>
      <c r="M296" s="1" t="s">
        <v>0</v>
      </c>
    </row>
    <row r="297" spans="1:13" x14ac:dyDescent="0.2">
      <c r="A297" s="6" t="str">
        <f>VLOOKUP(J297,[1]Clientes!$C:$H,6,0)</f>
        <v>CBA</v>
      </c>
      <c r="B297" s="7">
        <f t="shared" si="6"/>
        <v>45216</v>
      </c>
      <c r="C297" s="1" t="s">
        <v>422</v>
      </c>
      <c r="D297" s="1" t="s">
        <v>183</v>
      </c>
      <c r="E297" s="1" t="s">
        <v>184</v>
      </c>
      <c r="F297" s="4">
        <v>45216.359027777777</v>
      </c>
      <c r="G297" s="4">
        <v>45216.359027777777</v>
      </c>
      <c r="H297" s="1" t="s">
        <v>21</v>
      </c>
      <c r="I297" s="1" t="s">
        <v>22</v>
      </c>
      <c r="J297" s="1" t="s">
        <v>210</v>
      </c>
      <c r="L297" s="2">
        <v>3458.05</v>
      </c>
      <c r="M297" s="1" t="s">
        <v>0</v>
      </c>
    </row>
    <row r="298" spans="1:13" x14ac:dyDescent="0.2">
      <c r="A298" s="6" t="str">
        <f>VLOOKUP(J298,[1]Clientes!$C:$H,6,0)</f>
        <v>CBA</v>
      </c>
      <c r="B298" s="7">
        <f t="shared" si="6"/>
        <v>45216</v>
      </c>
      <c r="C298" s="1" t="s">
        <v>423</v>
      </c>
      <c r="D298" s="1" t="s">
        <v>183</v>
      </c>
      <c r="E298" s="1" t="s">
        <v>184</v>
      </c>
      <c r="F298" s="4">
        <v>45216.361805555556</v>
      </c>
      <c r="G298" s="4">
        <v>45216.361805555556</v>
      </c>
      <c r="H298" s="1" t="s">
        <v>21</v>
      </c>
      <c r="I298" s="1" t="s">
        <v>22</v>
      </c>
      <c r="J298" s="1" t="s">
        <v>210</v>
      </c>
      <c r="L298" s="2">
        <v>3457.36</v>
      </c>
      <c r="M298" s="1" t="s">
        <v>0</v>
      </c>
    </row>
    <row r="299" spans="1:13" x14ac:dyDescent="0.2">
      <c r="A299" s="6" t="str">
        <f>VLOOKUP(J299,[1]Clientes!$C:$H,6,0)</f>
        <v>CBA</v>
      </c>
      <c r="B299" s="7">
        <f t="shared" si="6"/>
        <v>45216</v>
      </c>
      <c r="C299" s="1" t="s">
        <v>424</v>
      </c>
      <c r="D299" s="1" t="s">
        <v>183</v>
      </c>
      <c r="E299" s="1" t="s">
        <v>184</v>
      </c>
      <c r="F299" s="4">
        <v>45216.366666666669</v>
      </c>
      <c r="G299" s="4">
        <v>45216.366666666669</v>
      </c>
      <c r="H299" s="1" t="s">
        <v>21</v>
      </c>
      <c r="I299" s="1" t="s">
        <v>22</v>
      </c>
      <c r="J299" s="1" t="s">
        <v>210</v>
      </c>
      <c r="L299" s="2">
        <v>3457.7</v>
      </c>
      <c r="M299" s="1" t="s">
        <v>0</v>
      </c>
    </row>
    <row r="300" spans="1:13" x14ac:dyDescent="0.2">
      <c r="A300" s="6" t="str">
        <f>VLOOKUP(J300,[1]Clientes!$C:$H,6,0)</f>
        <v>CBA</v>
      </c>
      <c r="B300" s="7">
        <f t="shared" si="6"/>
        <v>45216</v>
      </c>
      <c r="C300" s="1" t="s">
        <v>425</v>
      </c>
      <c r="D300" s="1" t="s">
        <v>183</v>
      </c>
      <c r="E300" s="1" t="s">
        <v>184</v>
      </c>
      <c r="F300" s="4">
        <v>45216.371527777781</v>
      </c>
      <c r="G300" s="4">
        <v>45216.371527777781</v>
      </c>
      <c r="H300" s="1" t="s">
        <v>21</v>
      </c>
      <c r="I300" s="1" t="s">
        <v>22</v>
      </c>
      <c r="J300" s="1" t="s">
        <v>210</v>
      </c>
      <c r="L300" s="2">
        <v>3391.11</v>
      </c>
      <c r="M300" s="1" t="s">
        <v>0</v>
      </c>
    </row>
    <row r="301" spans="1:13" x14ac:dyDescent="0.2">
      <c r="A301" s="6" t="str">
        <f>VLOOKUP(J301,[1]Clientes!$C:$H,6,0)</f>
        <v>OUTROS</v>
      </c>
      <c r="B301" s="7">
        <f t="shared" si="6"/>
        <v>45216</v>
      </c>
      <c r="C301" s="1" t="s">
        <v>426</v>
      </c>
      <c r="D301" s="1" t="s">
        <v>183</v>
      </c>
      <c r="E301" s="1" t="s">
        <v>184</v>
      </c>
      <c r="F301" s="4">
        <v>45216.414583333331</v>
      </c>
      <c r="G301" s="4">
        <v>45216.414583333331</v>
      </c>
      <c r="H301" s="1" t="s">
        <v>21</v>
      </c>
      <c r="I301" s="1" t="s">
        <v>22</v>
      </c>
      <c r="J301" s="1" t="s">
        <v>234</v>
      </c>
      <c r="L301" s="2">
        <v>980</v>
      </c>
      <c r="M301" s="1" t="s">
        <v>4</v>
      </c>
    </row>
    <row r="302" spans="1:13" x14ac:dyDescent="0.2">
      <c r="A302" s="6" t="str">
        <f>VLOOKUP(J302,[1]Clientes!$C:$H,6,0)</f>
        <v>CBA</v>
      </c>
      <c r="B302" s="7">
        <f t="shared" si="6"/>
        <v>45216</v>
      </c>
      <c r="C302" s="1" t="s">
        <v>427</v>
      </c>
      <c r="D302" s="1" t="s">
        <v>183</v>
      </c>
      <c r="E302" s="1" t="s">
        <v>184</v>
      </c>
      <c r="F302" s="4">
        <v>45216.431250000001</v>
      </c>
      <c r="G302" s="4">
        <v>45216.431250000001</v>
      </c>
      <c r="H302" s="1" t="s">
        <v>21</v>
      </c>
      <c r="I302" s="1" t="s">
        <v>22</v>
      </c>
      <c r="J302" s="1" t="s">
        <v>210</v>
      </c>
      <c r="L302" s="2">
        <v>3457.89</v>
      </c>
      <c r="M302" s="1" t="s">
        <v>0</v>
      </c>
    </row>
    <row r="303" spans="1:13" x14ac:dyDescent="0.2">
      <c r="A303" s="6" t="s">
        <v>1</v>
      </c>
      <c r="B303" s="7">
        <f t="shared" si="6"/>
        <v>45216</v>
      </c>
      <c r="C303" s="1" t="s">
        <v>97</v>
      </c>
      <c r="D303" s="1" t="s">
        <v>19</v>
      </c>
      <c r="E303" s="1" t="s">
        <v>20</v>
      </c>
      <c r="F303" s="4">
        <v>45216.442361111112</v>
      </c>
      <c r="G303" s="4">
        <v>45216.442361111112</v>
      </c>
      <c r="H303" s="1" t="s">
        <v>21</v>
      </c>
      <c r="I303" s="1" t="s">
        <v>22</v>
      </c>
      <c r="J303" s="1" t="s">
        <v>25</v>
      </c>
      <c r="L303" s="2">
        <v>1267.9100000000001</v>
      </c>
      <c r="M303" s="1" t="s">
        <v>1</v>
      </c>
    </row>
    <row r="304" spans="1:13" x14ac:dyDescent="0.2">
      <c r="A304" s="6" t="s">
        <v>1</v>
      </c>
      <c r="B304" s="7">
        <f t="shared" si="6"/>
        <v>45216</v>
      </c>
      <c r="C304" s="1" t="s">
        <v>98</v>
      </c>
      <c r="D304" s="1" t="s">
        <v>19</v>
      </c>
      <c r="E304" s="1" t="s">
        <v>20</v>
      </c>
      <c r="F304" s="4">
        <v>45216.45208333333</v>
      </c>
      <c r="G304" s="4">
        <v>45216.45208333333</v>
      </c>
      <c r="H304" s="1" t="s">
        <v>21</v>
      </c>
      <c r="I304" s="1" t="s">
        <v>22</v>
      </c>
      <c r="J304" s="1" t="s">
        <v>25</v>
      </c>
      <c r="L304" s="2">
        <v>2377.38</v>
      </c>
      <c r="M304" s="1" t="s">
        <v>1</v>
      </c>
    </row>
    <row r="305" spans="1:13" x14ac:dyDescent="0.2">
      <c r="A305" s="6" t="s">
        <v>1</v>
      </c>
      <c r="B305" s="7">
        <f t="shared" si="6"/>
        <v>45216</v>
      </c>
      <c r="C305" s="1" t="s">
        <v>99</v>
      </c>
      <c r="D305" s="1" t="s">
        <v>19</v>
      </c>
      <c r="E305" s="1" t="s">
        <v>20</v>
      </c>
      <c r="F305" s="4">
        <v>45216.462500000001</v>
      </c>
      <c r="G305" s="4">
        <v>45216.462500000001</v>
      </c>
      <c r="H305" s="1" t="s">
        <v>21</v>
      </c>
      <c r="I305" s="1" t="s">
        <v>22</v>
      </c>
      <c r="J305" s="1" t="s">
        <v>25</v>
      </c>
      <c r="L305" s="2">
        <v>2377.38</v>
      </c>
      <c r="M305" s="1" t="s">
        <v>1</v>
      </c>
    </row>
    <row r="306" spans="1:13" x14ac:dyDescent="0.2">
      <c r="A306" s="6" t="str">
        <f>VLOOKUP(J306,[1]Clientes!$C:$H,6,0)</f>
        <v>CBA</v>
      </c>
      <c r="B306" s="7">
        <f t="shared" ref="B306:B369" si="7">QUOTIENT(F306,1)</f>
        <v>45216</v>
      </c>
      <c r="C306" s="1" t="s">
        <v>428</v>
      </c>
      <c r="D306" s="1" t="s">
        <v>183</v>
      </c>
      <c r="E306" s="1" t="s">
        <v>184</v>
      </c>
      <c r="F306" s="4">
        <v>45216.481944444444</v>
      </c>
      <c r="G306" s="4">
        <v>45216.481944444444</v>
      </c>
      <c r="H306" s="1" t="s">
        <v>21</v>
      </c>
      <c r="I306" s="1" t="s">
        <v>22</v>
      </c>
      <c r="J306" s="1" t="s">
        <v>69</v>
      </c>
      <c r="L306" s="2">
        <v>1660.66</v>
      </c>
      <c r="M306" s="1" t="s">
        <v>0</v>
      </c>
    </row>
    <row r="307" spans="1:13" x14ac:dyDescent="0.2">
      <c r="A307" s="6" t="str">
        <f>VLOOKUP(J307,[1]Clientes!$C:$H,6,0)</f>
        <v>LANXESS</v>
      </c>
      <c r="B307" s="7">
        <f t="shared" si="7"/>
        <v>45216</v>
      </c>
      <c r="C307" s="1" t="s">
        <v>429</v>
      </c>
      <c r="D307" s="1" t="s">
        <v>183</v>
      </c>
      <c r="E307" s="1" t="s">
        <v>184</v>
      </c>
      <c r="F307" s="4">
        <v>45216.495138888888</v>
      </c>
      <c r="G307" s="4">
        <v>45216.495138888888</v>
      </c>
      <c r="H307" s="1" t="s">
        <v>21</v>
      </c>
      <c r="I307" s="1" t="s">
        <v>22</v>
      </c>
      <c r="J307" s="1" t="s">
        <v>221</v>
      </c>
      <c r="L307" s="2">
        <v>3776.68</v>
      </c>
      <c r="M307" s="1" t="s">
        <v>648</v>
      </c>
    </row>
    <row r="308" spans="1:13" x14ac:dyDescent="0.2">
      <c r="A308" s="6" t="s">
        <v>1</v>
      </c>
      <c r="B308" s="7">
        <f t="shared" si="7"/>
        <v>45216</v>
      </c>
      <c r="C308" s="1" t="s">
        <v>100</v>
      </c>
      <c r="D308" s="1" t="s">
        <v>19</v>
      </c>
      <c r="E308" s="1" t="s">
        <v>20</v>
      </c>
      <c r="F308" s="4">
        <v>45216.52847222222</v>
      </c>
      <c r="G308" s="4">
        <v>45216.52847222222</v>
      </c>
      <c r="H308" s="1" t="s">
        <v>21</v>
      </c>
      <c r="I308" s="1" t="s">
        <v>22</v>
      </c>
      <c r="J308" s="1" t="s">
        <v>25</v>
      </c>
      <c r="L308" s="2">
        <v>1267.9100000000001</v>
      </c>
      <c r="M308" s="1" t="s">
        <v>1</v>
      </c>
    </row>
    <row r="309" spans="1:13" x14ac:dyDescent="0.2">
      <c r="A309" s="6" t="str">
        <f>VLOOKUP(J309,[1]Clientes!$C:$H,6,0)</f>
        <v>LANXESS</v>
      </c>
      <c r="B309" s="7">
        <f t="shared" si="7"/>
        <v>45216</v>
      </c>
      <c r="C309" s="1" t="s">
        <v>430</v>
      </c>
      <c r="D309" s="1" t="s">
        <v>183</v>
      </c>
      <c r="E309" s="1" t="s">
        <v>184</v>
      </c>
      <c r="F309" s="4">
        <v>45216.570138888892</v>
      </c>
      <c r="G309" s="4">
        <v>45216.570138888892</v>
      </c>
      <c r="H309" s="1" t="s">
        <v>21</v>
      </c>
      <c r="I309" s="1" t="s">
        <v>22</v>
      </c>
      <c r="J309" s="1" t="s">
        <v>202</v>
      </c>
      <c r="L309" s="2">
        <v>2002.09</v>
      </c>
      <c r="M309" s="1" t="s">
        <v>648</v>
      </c>
    </row>
    <row r="310" spans="1:13" x14ac:dyDescent="0.2">
      <c r="A310" s="6" t="str">
        <f>VLOOKUP(J310,[1]Clientes!$C:$H,6,0)</f>
        <v>CBA</v>
      </c>
      <c r="B310" s="7">
        <f t="shared" si="7"/>
        <v>45216</v>
      </c>
      <c r="C310" s="1" t="s">
        <v>431</v>
      </c>
      <c r="D310" s="1" t="s">
        <v>183</v>
      </c>
      <c r="E310" s="1" t="s">
        <v>184</v>
      </c>
      <c r="F310" s="4">
        <v>45216.60833333333</v>
      </c>
      <c r="G310" s="4">
        <v>45216.60833333333</v>
      </c>
      <c r="H310" s="1" t="s">
        <v>21</v>
      </c>
      <c r="I310" s="1" t="s">
        <v>22</v>
      </c>
      <c r="J310" s="1" t="s">
        <v>69</v>
      </c>
      <c r="L310" s="2">
        <v>2623.28</v>
      </c>
      <c r="M310" s="1" t="s">
        <v>0</v>
      </c>
    </row>
    <row r="311" spans="1:13" x14ac:dyDescent="0.2">
      <c r="A311" s="6" t="str">
        <f>VLOOKUP(J311,[1]Clientes!$C:$H,6,0)</f>
        <v>VERDE FORTE</v>
      </c>
      <c r="B311" s="7">
        <f t="shared" si="7"/>
        <v>45216</v>
      </c>
      <c r="C311" s="1" t="s">
        <v>432</v>
      </c>
      <c r="D311" s="1" t="s">
        <v>183</v>
      </c>
      <c r="E311" s="1" t="s">
        <v>184</v>
      </c>
      <c r="F311" s="4">
        <v>45216.615277777775</v>
      </c>
      <c r="G311" s="4">
        <v>45216.615277777775</v>
      </c>
      <c r="H311" s="1" t="s">
        <v>21</v>
      </c>
      <c r="I311" s="1" t="s">
        <v>22</v>
      </c>
      <c r="J311" s="1" t="s">
        <v>27</v>
      </c>
      <c r="L311" s="2">
        <v>1383.91</v>
      </c>
      <c r="M311" s="1" t="s">
        <v>2</v>
      </c>
    </row>
    <row r="312" spans="1:13" x14ac:dyDescent="0.2">
      <c r="A312" s="6" t="str">
        <f>VLOOKUP(J312,[1]Clientes!$C:$H,6,0)</f>
        <v>CBA</v>
      </c>
      <c r="B312" s="7">
        <f t="shared" si="7"/>
        <v>45216</v>
      </c>
      <c r="C312" s="1" t="s">
        <v>433</v>
      </c>
      <c r="D312" s="1" t="s">
        <v>183</v>
      </c>
      <c r="E312" s="1" t="s">
        <v>184</v>
      </c>
      <c r="F312" s="4">
        <v>45216.647222222222</v>
      </c>
      <c r="G312" s="4">
        <v>45216.647222222222</v>
      </c>
      <c r="H312" s="1" t="s">
        <v>21</v>
      </c>
      <c r="I312" s="1" t="s">
        <v>22</v>
      </c>
      <c r="J312" s="1" t="s">
        <v>69</v>
      </c>
      <c r="L312" s="2">
        <v>2630.75</v>
      </c>
      <c r="M312" s="1" t="s">
        <v>0</v>
      </c>
    </row>
    <row r="313" spans="1:13" x14ac:dyDescent="0.2">
      <c r="A313" s="6" t="str">
        <f>VLOOKUP(J313,[1]Clientes!$C:$H,6,0)</f>
        <v>CBA</v>
      </c>
      <c r="B313" s="7">
        <f t="shared" si="7"/>
        <v>45216</v>
      </c>
      <c r="C313" s="1" t="s">
        <v>434</v>
      </c>
      <c r="D313" s="1" t="s">
        <v>183</v>
      </c>
      <c r="E313" s="1" t="s">
        <v>184</v>
      </c>
      <c r="F313" s="4">
        <v>45216.651388888888</v>
      </c>
      <c r="G313" s="4">
        <v>45216.651388888888</v>
      </c>
      <c r="H313" s="1" t="s">
        <v>21</v>
      </c>
      <c r="I313" s="1" t="s">
        <v>22</v>
      </c>
      <c r="J313" s="1" t="s">
        <v>69</v>
      </c>
      <c r="L313" s="2">
        <v>1626.7</v>
      </c>
      <c r="M313" s="1" t="s">
        <v>0</v>
      </c>
    </row>
    <row r="314" spans="1:13" x14ac:dyDescent="0.2">
      <c r="A314" s="6" t="str">
        <f>VLOOKUP(J314,[1]Clientes!$C:$H,6,0)</f>
        <v>LANXESS</v>
      </c>
      <c r="B314" s="7">
        <f t="shared" si="7"/>
        <v>45216</v>
      </c>
      <c r="C314" s="1" t="s">
        <v>435</v>
      </c>
      <c r="D314" s="1" t="s">
        <v>183</v>
      </c>
      <c r="E314" s="1" t="s">
        <v>184</v>
      </c>
      <c r="F314" s="4">
        <v>45216.65902777778</v>
      </c>
      <c r="G314" s="4">
        <v>45216.65902777778</v>
      </c>
      <c r="H314" s="1" t="s">
        <v>21</v>
      </c>
      <c r="I314" s="1" t="s">
        <v>22</v>
      </c>
      <c r="J314" s="1" t="s">
        <v>200</v>
      </c>
      <c r="L314" s="2">
        <v>5322.39</v>
      </c>
      <c r="M314" s="1" t="s">
        <v>648</v>
      </c>
    </row>
    <row r="315" spans="1:13" x14ac:dyDescent="0.2">
      <c r="A315" s="6" t="str">
        <f>VLOOKUP(J315,[1]Clientes!$C:$H,6,0)</f>
        <v>CBA</v>
      </c>
      <c r="B315" s="7">
        <f t="shared" si="7"/>
        <v>45216</v>
      </c>
      <c r="C315" s="1" t="s">
        <v>436</v>
      </c>
      <c r="D315" s="1" t="s">
        <v>183</v>
      </c>
      <c r="E315" s="1" t="s">
        <v>184</v>
      </c>
      <c r="F315" s="4">
        <v>45216.739583333336</v>
      </c>
      <c r="G315" s="4">
        <v>45216.739583333336</v>
      </c>
      <c r="H315" s="1" t="s">
        <v>21</v>
      </c>
      <c r="I315" s="1" t="s">
        <v>22</v>
      </c>
      <c r="J315" s="1" t="s">
        <v>69</v>
      </c>
      <c r="L315" s="2">
        <v>1622.43</v>
      </c>
      <c r="M315" s="1" t="s">
        <v>0</v>
      </c>
    </row>
    <row r="316" spans="1:13" x14ac:dyDescent="0.2">
      <c r="A316" s="6" t="str">
        <f>VLOOKUP(J316,[1]Clientes!$C:$H,6,0)</f>
        <v>CBA</v>
      </c>
      <c r="B316" s="7">
        <f t="shared" si="7"/>
        <v>45216</v>
      </c>
      <c r="C316" s="1" t="s">
        <v>437</v>
      </c>
      <c r="D316" s="1" t="s">
        <v>183</v>
      </c>
      <c r="E316" s="1" t="s">
        <v>184</v>
      </c>
      <c r="F316" s="4">
        <v>45216.830555555556</v>
      </c>
      <c r="G316" s="4">
        <v>45216.830555555556</v>
      </c>
      <c r="H316" s="1" t="s">
        <v>21</v>
      </c>
      <c r="I316" s="1" t="s">
        <v>22</v>
      </c>
      <c r="J316" s="1" t="s">
        <v>69</v>
      </c>
      <c r="L316" s="2">
        <v>2315.5500000000002</v>
      </c>
      <c r="M316" s="1" t="s">
        <v>0</v>
      </c>
    </row>
    <row r="317" spans="1:13" x14ac:dyDescent="0.2">
      <c r="A317" s="6" t="str">
        <f>VLOOKUP(J317,[1]Clientes!$C:$H,6,0)</f>
        <v>CBA</v>
      </c>
      <c r="B317" s="7">
        <f t="shared" si="7"/>
        <v>45216</v>
      </c>
      <c r="C317" s="1" t="s">
        <v>438</v>
      </c>
      <c r="D317" s="1" t="s">
        <v>183</v>
      </c>
      <c r="E317" s="1" t="s">
        <v>184</v>
      </c>
      <c r="F317" s="4">
        <v>45216.901388888888</v>
      </c>
      <c r="G317" s="4">
        <v>45216.901388888888</v>
      </c>
      <c r="H317" s="1" t="s">
        <v>21</v>
      </c>
      <c r="I317" s="1" t="s">
        <v>22</v>
      </c>
      <c r="J317" s="1" t="s">
        <v>69</v>
      </c>
      <c r="L317" s="2">
        <v>3197.92</v>
      </c>
      <c r="M317" s="1" t="s">
        <v>0</v>
      </c>
    </row>
    <row r="318" spans="1:13" x14ac:dyDescent="0.2">
      <c r="A318" s="6" t="str">
        <f>VLOOKUP(J318,[1]Clientes!$C:$H,6,0)</f>
        <v>UNIPAR</v>
      </c>
      <c r="B318" s="7">
        <f t="shared" si="7"/>
        <v>45216</v>
      </c>
      <c r="C318" s="1" t="s">
        <v>439</v>
      </c>
      <c r="D318" s="1" t="s">
        <v>183</v>
      </c>
      <c r="E318" s="1" t="s">
        <v>184</v>
      </c>
      <c r="F318" s="4">
        <v>45216.905555555553</v>
      </c>
      <c r="G318" s="4">
        <v>45216.905555555553</v>
      </c>
      <c r="H318" s="1" t="s">
        <v>21</v>
      </c>
      <c r="I318" s="1" t="s">
        <v>22</v>
      </c>
      <c r="J318" s="1" t="s">
        <v>63</v>
      </c>
      <c r="L318" s="2">
        <v>3425.27</v>
      </c>
      <c r="M318" s="1" t="s">
        <v>647</v>
      </c>
    </row>
    <row r="319" spans="1:13" x14ac:dyDescent="0.2">
      <c r="A319" s="6" t="str">
        <f>VLOOKUP(J319,[1]Clientes!$C:$H,6,0)</f>
        <v>CBA</v>
      </c>
      <c r="B319" s="7">
        <f t="shared" si="7"/>
        <v>45217</v>
      </c>
      <c r="C319" s="1" t="s">
        <v>440</v>
      </c>
      <c r="D319" s="1" t="s">
        <v>183</v>
      </c>
      <c r="E319" s="1" t="s">
        <v>184</v>
      </c>
      <c r="F319" s="4">
        <v>45217.337500000001</v>
      </c>
      <c r="G319" s="4">
        <v>45217.337500000001</v>
      </c>
      <c r="H319" s="1" t="s">
        <v>21</v>
      </c>
      <c r="I319" s="1" t="s">
        <v>22</v>
      </c>
      <c r="J319" s="1" t="s">
        <v>69</v>
      </c>
      <c r="L319" s="2">
        <v>3258.1</v>
      </c>
      <c r="M319" s="1" t="s">
        <v>0</v>
      </c>
    </row>
    <row r="320" spans="1:13" x14ac:dyDescent="0.2">
      <c r="A320" s="6" t="str">
        <f>VLOOKUP(J320,[1]Clientes!$C:$H,6,0)</f>
        <v>CBA</v>
      </c>
      <c r="B320" s="7">
        <f t="shared" si="7"/>
        <v>45217</v>
      </c>
      <c r="C320" s="1" t="s">
        <v>441</v>
      </c>
      <c r="D320" s="1" t="s">
        <v>183</v>
      </c>
      <c r="E320" s="1" t="s">
        <v>184</v>
      </c>
      <c r="F320" s="4">
        <v>45217.340277777781</v>
      </c>
      <c r="G320" s="4">
        <v>45217.340277777781</v>
      </c>
      <c r="H320" s="1" t="s">
        <v>21</v>
      </c>
      <c r="I320" s="1" t="s">
        <v>22</v>
      </c>
      <c r="J320" s="1" t="s">
        <v>69</v>
      </c>
      <c r="L320" s="2">
        <v>3422.99</v>
      </c>
      <c r="M320" s="1" t="s">
        <v>0</v>
      </c>
    </row>
    <row r="321" spans="1:13" x14ac:dyDescent="0.2">
      <c r="A321" s="6" t="str">
        <f>VLOOKUP(J321,[1]Clientes!$C:$H,6,0)</f>
        <v>CBA</v>
      </c>
      <c r="B321" s="7">
        <f t="shared" si="7"/>
        <v>45217</v>
      </c>
      <c r="C321" s="1" t="s">
        <v>442</v>
      </c>
      <c r="D321" s="1" t="s">
        <v>183</v>
      </c>
      <c r="E321" s="1" t="s">
        <v>184</v>
      </c>
      <c r="F321" s="4">
        <v>45217.341666666667</v>
      </c>
      <c r="G321" s="4">
        <v>45217.341666666667</v>
      </c>
      <c r="H321" s="1" t="s">
        <v>21</v>
      </c>
      <c r="I321" s="1" t="s">
        <v>22</v>
      </c>
      <c r="J321" s="1" t="s">
        <v>69</v>
      </c>
      <c r="L321" s="2">
        <v>3420.2</v>
      </c>
      <c r="M321" s="1" t="s">
        <v>0</v>
      </c>
    </row>
    <row r="322" spans="1:13" x14ac:dyDescent="0.2">
      <c r="A322" s="6" t="str">
        <f>VLOOKUP(J322,[1]Clientes!$C:$H,6,0)</f>
        <v>CBA</v>
      </c>
      <c r="B322" s="7">
        <f t="shared" si="7"/>
        <v>45217</v>
      </c>
      <c r="C322" s="1" t="s">
        <v>443</v>
      </c>
      <c r="D322" s="1" t="s">
        <v>183</v>
      </c>
      <c r="E322" s="1" t="s">
        <v>184</v>
      </c>
      <c r="F322" s="4">
        <v>45217.34375</v>
      </c>
      <c r="G322" s="4">
        <v>45217.34375</v>
      </c>
      <c r="H322" s="1" t="s">
        <v>21</v>
      </c>
      <c r="I322" s="1" t="s">
        <v>22</v>
      </c>
      <c r="J322" s="1" t="s">
        <v>69</v>
      </c>
      <c r="L322" s="2">
        <v>3421.16</v>
      </c>
      <c r="M322" s="1" t="s">
        <v>0</v>
      </c>
    </row>
    <row r="323" spans="1:13" x14ac:dyDescent="0.2">
      <c r="A323" s="6" t="str">
        <f>VLOOKUP(J323,[1]Clientes!$C:$H,6,0)</f>
        <v>CBA</v>
      </c>
      <c r="B323" s="7">
        <f t="shared" si="7"/>
        <v>45217</v>
      </c>
      <c r="C323" s="1" t="s">
        <v>444</v>
      </c>
      <c r="D323" s="1" t="s">
        <v>183</v>
      </c>
      <c r="E323" s="1" t="s">
        <v>184</v>
      </c>
      <c r="F323" s="4">
        <v>45217.347222222219</v>
      </c>
      <c r="G323" s="4">
        <v>45217.347222222219</v>
      </c>
      <c r="H323" s="1" t="s">
        <v>21</v>
      </c>
      <c r="I323" s="1" t="s">
        <v>22</v>
      </c>
      <c r="J323" s="1" t="s">
        <v>210</v>
      </c>
      <c r="L323" s="2">
        <v>3458.67</v>
      </c>
      <c r="M323" s="1" t="s">
        <v>0</v>
      </c>
    </row>
    <row r="324" spans="1:13" x14ac:dyDescent="0.2">
      <c r="A324" s="6" t="str">
        <f>VLOOKUP(J324,[1]Clientes!$C:$H,6,0)</f>
        <v>CBA</v>
      </c>
      <c r="B324" s="7">
        <f t="shared" si="7"/>
        <v>45217</v>
      </c>
      <c r="C324" s="1" t="s">
        <v>445</v>
      </c>
      <c r="D324" s="1" t="s">
        <v>183</v>
      </c>
      <c r="E324" s="1" t="s">
        <v>184</v>
      </c>
      <c r="F324" s="4">
        <v>45217.347916666666</v>
      </c>
      <c r="G324" s="4">
        <v>45217.347916666666</v>
      </c>
      <c r="H324" s="1" t="s">
        <v>21</v>
      </c>
      <c r="I324" s="1" t="s">
        <v>22</v>
      </c>
      <c r="J324" s="1" t="s">
        <v>210</v>
      </c>
      <c r="L324" s="2">
        <v>3458.15</v>
      </c>
      <c r="M324" s="1" t="s">
        <v>0</v>
      </c>
    </row>
    <row r="325" spans="1:13" x14ac:dyDescent="0.2">
      <c r="A325" s="6" t="str">
        <f>VLOOKUP(J325,[1]Clientes!$C:$H,6,0)</f>
        <v>CBA</v>
      </c>
      <c r="B325" s="7">
        <f t="shared" si="7"/>
        <v>45217</v>
      </c>
      <c r="C325" s="1" t="s">
        <v>446</v>
      </c>
      <c r="D325" s="1" t="s">
        <v>183</v>
      </c>
      <c r="E325" s="1" t="s">
        <v>184</v>
      </c>
      <c r="F325" s="4">
        <v>45217.348611111112</v>
      </c>
      <c r="G325" s="4">
        <v>45217.348611111112</v>
      </c>
      <c r="H325" s="1" t="s">
        <v>21</v>
      </c>
      <c r="I325" s="1" t="s">
        <v>22</v>
      </c>
      <c r="J325" s="1" t="s">
        <v>210</v>
      </c>
      <c r="L325" s="2">
        <v>3458.94</v>
      </c>
      <c r="M325" s="1" t="s">
        <v>0</v>
      </c>
    </row>
    <row r="326" spans="1:13" x14ac:dyDescent="0.2">
      <c r="A326" s="6" t="str">
        <f>VLOOKUP(J326,[1]Clientes!$C:$H,6,0)</f>
        <v>CBA</v>
      </c>
      <c r="B326" s="7">
        <f t="shared" si="7"/>
        <v>45217</v>
      </c>
      <c r="C326" s="1" t="s">
        <v>447</v>
      </c>
      <c r="D326" s="1" t="s">
        <v>183</v>
      </c>
      <c r="E326" s="1" t="s">
        <v>184</v>
      </c>
      <c r="F326" s="4">
        <v>45217.349305555559</v>
      </c>
      <c r="G326" s="4">
        <v>45217.349305555559</v>
      </c>
      <c r="H326" s="1" t="s">
        <v>21</v>
      </c>
      <c r="I326" s="1" t="s">
        <v>22</v>
      </c>
      <c r="J326" s="1" t="s">
        <v>210</v>
      </c>
      <c r="L326" s="2">
        <v>3458.1</v>
      </c>
      <c r="M326" s="1" t="s">
        <v>0</v>
      </c>
    </row>
    <row r="327" spans="1:13" x14ac:dyDescent="0.2">
      <c r="A327" s="6" t="str">
        <f>VLOOKUP(J327,[1]Clientes!$C:$H,6,0)</f>
        <v>LANXESS</v>
      </c>
      <c r="B327" s="7">
        <f t="shared" si="7"/>
        <v>45217</v>
      </c>
      <c r="C327" s="1" t="s">
        <v>448</v>
      </c>
      <c r="D327" s="1" t="s">
        <v>183</v>
      </c>
      <c r="E327" s="1" t="s">
        <v>184</v>
      </c>
      <c r="F327" s="4">
        <v>45217.388888888891</v>
      </c>
      <c r="G327" s="4">
        <v>45217.388888888891</v>
      </c>
      <c r="H327" s="1" t="s">
        <v>21</v>
      </c>
      <c r="I327" s="1" t="s">
        <v>22</v>
      </c>
      <c r="J327" s="1" t="s">
        <v>221</v>
      </c>
      <c r="L327" s="2">
        <v>1450.44</v>
      </c>
      <c r="M327" s="1" t="s">
        <v>648</v>
      </c>
    </row>
    <row r="328" spans="1:13" x14ac:dyDescent="0.2">
      <c r="A328" s="6" t="str">
        <f>VLOOKUP(J328,[1]Clientes!$C:$H,6,0)</f>
        <v>LANXESS</v>
      </c>
      <c r="B328" s="7">
        <f t="shared" si="7"/>
        <v>45217</v>
      </c>
      <c r="C328" s="1" t="s">
        <v>449</v>
      </c>
      <c r="D328" s="1" t="s">
        <v>183</v>
      </c>
      <c r="E328" s="1" t="s">
        <v>184</v>
      </c>
      <c r="F328" s="4">
        <v>45217.440972222219</v>
      </c>
      <c r="G328" s="4">
        <v>45217.440972222219</v>
      </c>
      <c r="H328" s="1" t="s">
        <v>21</v>
      </c>
      <c r="I328" s="1" t="s">
        <v>22</v>
      </c>
      <c r="J328" s="1" t="s">
        <v>202</v>
      </c>
      <c r="L328" s="2">
        <v>1624.61</v>
      </c>
      <c r="M328" s="1" t="s">
        <v>648</v>
      </c>
    </row>
    <row r="329" spans="1:13" x14ac:dyDescent="0.2">
      <c r="A329" s="6" t="str">
        <f>VLOOKUP(J329,[1]Clientes!$C:$H,6,0)</f>
        <v>IMERYS</v>
      </c>
      <c r="B329" s="7">
        <f t="shared" si="7"/>
        <v>45217</v>
      </c>
      <c r="C329" s="1" t="s">
        <v>450</v>
      </c>
      <c r="D329" s="1" t="s">
        <v>183</v>
      </c>
      <c r="E329" s="1" t="s">
        <v>184</v>
      </c>
      <c r="F329" s="4">
        <v>45217.477083333331</v>
      </c>
      <c r="G329" s="4">
        <v>45217.477083333331</v>
      </c>
      <c r="H329" s="1" t="s">
        <v>21</v>
      </c>
      <c r="I329" s="1" t="s">
        <v>22</v>
      </c>
      <c r="J329" s="1" t="s">
        <v>188</v>
      </c>
      <c r="L329" s="2">
        <v>821.11</v>
      </c>
      <c r="M329" s="1" t="s">
        <v>6</v>
      </c>
    </row>
    <row r="330" spans="1:13" x14ac:dyDescent="0.2">
      <c r="A330" s="6" t="s">
        <v>1</v>
      </c>
      <c r="B330" s="7">
        <f t="shared" si="7"/>
        <v>45217</v>
      </c>
      <c r="C330" s="1" t="s">
        <v>101</v>
      </c>
      <c r="D330" s="1" t="s">
        <v>19</v>
      </c>
      <c r="E330" s="1" t="s">
        <v>20</v>
      </c>
      <c r="F330" s="4">
        <v>45217.51458333333</v>
      </c>
      <c r="G330" s="4">
        <v>45217.51458333333</v>
      </c>
      <c r="H330" s="1" t="s">
        <v>21</v>
      </c>
      <c r="I330" s="1" t="s">
        <v>22</v>
      </c>
      <c r="J330" s="1" t="s">
        <v>25</v>
      </c>
      <c r="L330" s="2">
        <v>1394.86</v>
      </c>
      <c r="M330" s="1" t="s">
        <v>1</v>
      </c>
    </row>
    <row r="331" spans="1:13" x14ac:dyDescent="0.2">
      <c r="A331" s="6" t="s">
        <v>1</v>
      </c>
      <c r="B331" s="7">
        <f t="shared" si="7"/>
        <v>45217</v>
      </c>
      <c r="C331" s="1" t="s">
        <v>102</v>
      </c>
      <c r="D331" s="1" t="s">
        <v>19</v>
      </c>
      <c r="E331" s="1" t="s">
        <v>20</v>
      </c>
      <c r="F331" s="4">
        <v>45217.520138888889</v>
      </c>
      <c r="G331" s="4">
        <v>45217.520138888889</v>
      </c>
      <c r="H331" s="1" t="s">
        <v>21</v>
      </c>
      <c r="I331" s="1" t="s">
        <v>22</v>
      </c>
      <c r="J331" s="1" t="s">
        <v>25</v>
      </c>
      <c r="L331" s="2">
        <v>1390.95</v>
      </c>
      <c r="M331" s="1" t="s">
        <v>1</v>
      </c>
    </row>
    <row r="332" spans="1:13" x14ac:dyDescent="0.2">
      <c r="A332" s="6" t="s">
        <v>1</v>
      </c>
      <c r="B332" s="7">
        <f t="shared" si="7"/>
        <v>45217</v>
      </c>
      <c r="C332" s="1" t="s">
        <v>103</v>
      </c>
      <c r="D332" s="1" t="s">
        <v>19</v>
      </c>
      <c r="E332" s="1" t="s">
        <v>20</v>
      </c>
      <c r="F332" s="4">
        <v>45217.527083333334</v>
      </c>
      <c r="G332" s="4">
        <v>45217.527083333334</v>
      </c>
      <c r="H332" s="1" t="s">
        <v>21</v>
      </c>
      <c r="I332" s="1" t="s">
        <v>22</v>
      </c>
      <c r="J332" s="1" t="s">
        <v>25</v>
      </c>
      <c r="L332" s="2">
        <v>2008.97</v>
      </c>
      <c r="M332" s="1" t="s">
        <v>1</v>
      </c>
    </row>
    <row r="333" spans="1:13" x14ac:dyDescent="0.2">
      <c r="A333" s="6" t="str">
        <f>VLOOKUP(J333,[1]Clientes!$C:$H,6,0)</f>
        <v>CBA</v>
      </c>
      <c r="B333" s="7">
        <f t="shared" si="7"/>
        <v>45217</v>
      </c>
      <c r="C333" s="1" t="s">
        <v>451</v>
      </c>
      <c r="D333" s="1" t="s">
        <v>183</v>
      </c>
      <c r="E333" s="1" t="s">
        <v>184</v>
      </c>
      <c r="F333" s="4">
        <v>45217.539583333331</v>
      </c>
      <c r="G333" s="4">
        <v>45217.539583333331</v>
      </c>
      <c r="H333" s="1" t="s">
        <v>21</v>
      </c>
      <c r="I333" s="1" t="s">
        <v>22</v>
      </c>
      <c r="J333" s="1" t="s">
        <v>69</v>
      </c>
      <c r="L333" s="2">
        <v>2499.52</v>
      </c>
      <c r="M333" s="1" t="s">
        <v>0</v>
      </c>
    </row>
    <row r="334" spans="1:13" x14ac:dyDescent="0.2">
      <c r="A334" s="6" t="str">
        <f>VLOOKUP(J334,[1]Clientes!$C:$H,6,0)</f>
        <v>CBA</v>
      </c>
      <c r="B334" s="7">
        <f t="shared" si="7"/>
        <v>45217</v>
      </c>
      <c r="C334" s="1" t="s">
        <v>452</v>
      </c>
      <c r="D334" s="1" t="s">
        <v>183</v>
      </c>
      <c r="E334" s="1" t="s">
        <v>184</v>
      </c>
      <c r="F334" s="4">
        <v>45217.546527777777</v>
      </c>
      <c r="G334" s="4">
        <v>45217.546527777777</v>
      </c>
      <c r="H334" s="1" t="s">
        <v>21</v>
      </c>
      <c r="I334" s="1" t="s">
        <v>22</v>
      </c>
      <c r="J334" s="1" t="s">
        <v>69</v>
      </c>
      <c r="L334" s="2">
        <v>2256.9899999999998</v>
      </c>
      <c r="M334" s="1" t="s">
        <v>0</v>
      </c>
    </row>
    <row r="335" spans="1:13" x14ac:dyDescent="0.2">
      <c r="A335" s="6" t="str">
        <f>VLOOKUP(J335,[1]Clientes!$C:$H,6,0)</f>
        <v>CBA</v>
      </c>
      <c r="B335" s="7">
        <f t="shared" si="7"/>
        <v>45217</v>
      </c>
      <c r="C335" s="1" t="s">
        <v>453</v>
      </c>
      <c r="D335" s="1" t="s">
        <v>183</v>
      </c>
      <c r="E335" s="1" t="s">
        <v>184</v>
      </c>
      <c r="F335" s="4">
        <v>45217.551388888889</v>
      </c>
      <c r="G335" s="4">
        <v>45217.551388888889</v>
      </c>
      <c r="H335" s="1" t="s">
        <v>21</v>
      </c>
      <c r="I335" s="1" t="s">
        <v>22</v>
      </c>
      <c r="J335" s="1" t="s">
        <v>69</v>
      </c>
      <c r="L335" s="2">
        <v>3251.49</v>
      </c>
      <c r="M335" s="1" t="s">
        <v>0</v>
      </c>
    </row>
    <row r="336" spans="1:13" x14ac:dyDescent="0.2">
      <c r="A336" s="6" t="s">
        <v>1</v>
      </c>
      <c r="B336" s="7">
        <f t="shared" si="7"/>
        <v>45217</v>
      </c>
      <c r="C336" s="1" t="s">
        <v>104</v>
      </c>
      <c r="D336" s="1" t="s">
        <v>19</v>
      </c>
      <c r="E336" s="1" t="s">
        <v>20</v>
      </c>
      <c r="F336" s="4">
        <v>45217.560416666667</v>
      </c>
      <c r="G336" s="4">
        <v>45217.560416666667</v>
      </c>
      <c r="H336" s="1" t="s">
        <v>21</v>
      </c>
      <c r="I336" s="1" t="s">
        <v>22</v>
      </c>
      <c r="J336" s="1" t="s">
        <v>25</v>
      </c>
      <c r="L336" s="2">
        <v>495.91</v>
      </c>
      <c r="M336" s="1" t="s">
        <v>1</v>
      </c>
    </row>
    <row r="337" spans="1:13" x14ac:dyDescent="0.2">
      <c r="A337" s="6" t="str">
        <f>VLOOKUP(J337,[1]Clientes!$C:$H,6,0)</f>
        <v>CBA</v>
      </c>
      <c r="B337" s="7">
        <f t="shared" si="7"/>
        <v>45217</v>
      </c>
      <c r="C337" s="1" t="s">
        <v>454</v>
      </c>
      <c r="D337" s="1" t="s">
        <v>183</v>
      </c>
      <c r="E337" s="1" t="s">
        <v>184</v>
      </c>
      <c r="F337" s="4">
        <v>45217.563194444447</v>
      </c>
      <c r="G337" s="4">
        <v>45217.563194444447</v>
      </c>
      <c r="H337" s="1" t="s">
        <v>21</v>
      </c>
      <c r="I337" s="1" t="s">
        <v>22</v>
      </c>
      <c r="J337" s="1" t="s">
        <v>69</v>
      </c>
      <c r="L337" s="2">
        <v>2544.9499999999998</v>
      </c>
      <c r="M337" s="1" t="s">
        <v>0</v>
      </c>
    </row>
    <row r="338" spans="1:13" x14ac:dyDescent="0.2">
      <c r="A338" s="6" t="s">
        <v>1</v>
      </c>
      <c r="B338" s="7">
        <f t="shared" si="7"/>
        <v>45217</v>
      </c>
      <c r="C338" s="1" t="s">
        <v>105</v>
      </c>
      <c r="D338" s="1" t="s">
        <v>19</v>
      </c>
      <c r="E338" s="1" t="s">
        <v>20</v>
      </c>
      <c r="F338" s="4">
        <v>45217.56527777778</v>
      </c>
      <c r="G338" s="4">
        <v>45217.56527777778</v>
      </c>
      <c r="H338" s="1" t="s">
        <v>21</v>
      </c>
      <c r="I338" s="1" t="s">
        <v>22</v>
      </c>
      <c r="J338" s="1" t="s">
        <v>25</v>
      </c>
      <c r="L338" s="2">
        <v>890.95</v>
      </c>
      <c r="M338" s="1" t="s">
        <v>1</v>
      </c>
    </row>
    <row r="339" spans="1:13" x14ac:dyDescent="0.2">
      <c r="A339" s="6" t="s">
        <v>1</v>
      </c>
      <c r="B339" s="7">
        <f t="shared" si="7"/>
        <v>45217</v>
      </c>
      <c r="C339" s="1" t="s">
        <v>106</v>
      </c>
      <c r="D339" s="1" t="s">
        <v>19</v>
      </c>
      <c r="E339" s="1" t="s">
        <v>20</v>
      </c>
      <c r="F339" s="4">
        <v>45217.567361111112</v>
      </c>
      <c r="G339" s="4">
        <v>45217.567361111112</v>
      </c>
      <c r="H339" s="1" t="s">
        <v>21</v>
      </c>
      <c r="I339" s="1" t="s">
        <v>22</v>
      </c>
      <c r="J339" s="1" t="s">
        <v>25</v>
      </c>
      <c r="L339" s="2">
        <v>310.23</v>
      </c>
      <c r="M339" s="1" t="s">
        <v>1</v>
      </c>
    </row>
    <row r="340" spans="1:13" x14ac:dyDescent="0.2">
      <c r="A340" s="6" t="s">
        <v>1</v>
      </c>
      <c r="B340" s="7">
        <f t="shared" si="7"/>
        <v>45217</v>
      </c>
      <c r="C340" s="1" t="s">
        <v>107</v>
      </c>
      <c r="D340" s="1" t="s">
        <v>19</v>
      </c>
      <c r="E340" s="1" t="s">
        <v>20</v>
      </c>
      <c r="F340" s="4">
        <v>45217.568749999999</v>
      </c>
      <c r="G340" s="4">
        <v>45217.568749999999</v>
      </c>
      <c r="H340" s="1" t="s">
        <v>21</v>
      </c>
      <c r="I340" s="1" t="s">
        <v>22</v>
      </c>
      <c r="J340" s="1" t="s">
        <v>25</v>
      </c>
      <c r="L340" s="2">
        <v>176.4</v>
      </c>
      <c r="M340" s="1" t="s">
        <v>1</v>
      </c>
    </row>
    <row r="341" spans="1:13" x14ac:dyDescent="0.2">
      <c r="A341" s="6" t="s">
        <v>1</v>
      </c>
      <c r="B341" s="7">
        <f t="shared" si="7"/>
        <v>45217</v>
      </c>
      <c r="C341" s="1" t="s">
        <v>108</v>
      </c>
      <c r="D341" s="1" t="s">
        <v>19</v>
      </c>
      <c r="E341" s="1" t="s">
        <v>20</v>
      </c>
      <c r="F341" s="4">
        <v>45217.570833333331</v>
      </c>
      <c r="G341" s="4">
        <v>45217.570833333331</v>
      </c>
      <c r="H341" s="1" t="s">
        <v>21</v>
      </c>
      <c r="I341" s="1" t="s">
        <v>22</v>
      </c>
      <c r="J341" s="1" t="s">
        <v>25</v>
      </c>
      <c r="L341" s="2">
        <v>873.05</v>
      </c>
      <c r="M341" s="1" t="s">
        <v>1</v>
      </c>
    </row>
    <row r="342" spans="1:13" x14ac:dyDescent="0.2">
      <c r="A342" s="6" t="s">
        <v>1</v>
      </c>
      <c r="B342" s="7">
        <f t="shared" si="7"/>
        <v>45217</v>
      </c>
      <c r="C342" s="1" t="s">
        <v>109</v>
      </c>
      <c r="D342" s="1" t="s">
        <v>19</v>
      </c>
      <c r="E342" s="1" t="s">
        <v>20</v>
      </c>
      <c r="F342" s="4">
        <v>45217.572222222225</v>
      </c>
      <c r="G342" s="4">
        <v>45217.572222222225</v>
      </c>
      <c r="H342" s="1" t="s">
        <v>21</v>
      </c>
      <c r="I342" s="1" t="s">
        <v>22</v>
      </c>
      <c r="J342" s="1" t="s">
        <v>25</v>
      </c>
      <c r="L342" s="2">
        <v>873.05</v>
      </c>
      <c r="M342" s="1" t="s">
        <v>1</v>
      </c>
    </row>
    <row r="343" spans="1:13" x14ac:dyDescent="0.2">
      <c r="A343" s="6" t="s">
        <v>1</v>
      </c>
      <c r="B343" s="7">
        <f t="shared" si="7"/>
        <v>45217</v>
      </c>
      <c r="C343" s="1" t="s">
        <v>110</v>
      </c>
      <c r="D343" s="1" t="s">
        <v>19</v>
      </c>
      <c r="E343" s="1" t="s">
        <v>20</v>
      </c>
      <c r="F343" s="4">
        <v>45217.574305555558</v>
      </c>
      <c r="G343" s="4">
        <v>45217.574305555558</v>
      </c>
      <c r="H343" s="1" t="s">
        <v>21</v>
      </c>
      <c r="I343" s="1" t="s">
        <v>22</v>
      </c>
      <c r="J343" s="1" t="s">
        <v>25</v>
      </c>
      <c r="L343" s="2">
        <v>873.05</v>
      </c>
      <c r="M343" s="1" t="s">
        <v>1</v>
      </c>
    </row>
    <row r="344" spans="1:13" x14ac:dyDescent="0.2">
      <c r="A344" s="6" t="s">
        <v>1</v>
      </c>
      <c r="B344" s="7">
        <f t="shared" si="7"/>
        <v>45217</v>
      </c>
      <c r="C344" s="1" t="s">
        <v>111</v>
      </c>
      <c r="D344" s="1" t="s">
        <v>19</v>
      </c>
      <c r="E344" s="1" t="s">
        <v>20</v>
      </c>
      <c r="F344" s="4">
        <v>45217.576388888891</v>
      </c>
      <c r="G344" s="4">
        <v>45217.576388888891</v>
      </c>
      <c r="H344" s="1" t="s">
        <v>21</v>
      </c>
      <c r="I344" s="1" t="s">
        <v>22</v>
      </c>
      <c r="J344" s="1" t="s">
        <v>25</v>
      </c>
      <c r="L344" s="2">
        <v>268.52</v>
      </c>
      <c r="M344" s="1" t="s">
        <v>1</v>
      </c>
    </row>
    <row r="345" spans="1:13" x14ac:dyDescent="0.2">
      <c r="A345" s="6" t="s">
        <v>1</v>
      </c>
      <c r="B345" s="7">
        <f t="shared" si="7"/>
        <v>45217</v>
      </c>
      <c r="C345" s="1" t="s">
        <v>112</v>
      </c>
      <c r="D345" s="1" t="s">
        <v>19</v>
      </c>
      <c r="E345" s="1" t="s">
        <v>20</v>
      </c>
      <c r="F345" s="4">
        <v>45217.577777777777</v>
      </c>
      <c r="G345" s="4">
        <v>45217.577777777777</v>
      </c>
      <c r="H345" s="1" t="s">
        <v>21</v>
      </c>
      <c r="I345" s="1" t="s">
        <v>22</v>
      </c>
      <c r="J345" s="1" t="s">
        <v>25</v>
      </c>
      <c r="L345" s="2">
        <v>268.52</v>
      </c>
      <c r="M345" s="1" t="s">
        <v>1</v>
      </c>
    </row>
    <row r="346" spans="1:13" x14ac:dyDescent="0.2">
      <c r="A346" s="6" t="s">
        <v>1</v>
      </c>
      <c r="B346" s="7">
        <f t="shared" si="7"/>
        <v>45217</v>
      </c>
      <c r="C346" s="1" t="s">
        <v>113</v>
      </c>
      <c r="D346" s="1" t="s">
        <v>19</v>
      </c>
      <c r="E346" s="1" t="s">
        <v>20</v>
      </c>
      <c r="F346" s="4">
        <v>45217.582638888889</v>
      </c>
      <c r="G346" s="4">
        <v>45217.582638888889</v>
      </c>
      <c r="H346" s="1" t="s">
        <v>21</v>
      </c>
      <c r="I346" s="1" t="s">
        <v>22</v>
      </c>
      <c r="J346" s="1" t="s">
        <v>25</v>
      </c>
      <c r="L346" s="2">
        <v>268.52</v>
      </c>
      <c r="M346" s="1" t="s">
        <v>1</v>
      </c>
    </row>
    <row r="347" spans="1:13" x14ac:dyDescent="0.2">
      <c r="A347" s="6" t="s">
        <v>1</v>
      </c>
      <c r="B347" s="7">
        <f t="shared" si="7"/>
        <v>45217</v>
      </c>
      <c r="C347" s="1" t="s">
        <v>114</v>
      </c>
      <c r="D347" s="1" t="s">
        <v>19</v>
      </c>
      <c r="E347" s="1" t="s">
        <v>20</v>
      </c>
      <c r="F347" s="4">
        <v>45217.584027777775</v>
      </c>
      <c r="G347" s="4">
        <v>45217.584027777775</v>
      </c>
      <c r="H347" s="1" t="s">
        <v>21</v>
      </c>
      <c r="I347" s="1" t="s">
        <v>22</v>
      </c>
      <c r="J347" s="1" t="s">
        <v>25</v>
      </c>
      <c r="L347" s="2">
        <v>268.52</v>
      </c>
      <c r="M347" s="1" t="s">
        <v>1</v>
      </c>
    </row>
    <row r="348" spans="1:13" x14ac:dyDescent="0.2">
      <c r="A348" s="6" t="s">
        <v>1</v>
      </c>
      <c r="B348" s="7">
        <f t="shared" si="7"/>
        <v>45217</v>
      </c>
      <c r="C348" s="1" t="s">
        <v>115</v>
      </c>
      <c r="D348" s="1" t="s">
        <v>19</v>
      </c>
      <c r="E348" s="1" t="s">
        <v>20</v>
      </c>
      <c r="F348" s="4">
        <v>45217.585416666669</v>
      </c>
      <c r="G348" s="4">
        <v>45217.585416666669</v>
      </c>
      <c r="H348" s="1" t="s">
        <v>21</v>
      </c>
      <c r="I348" s="1" t="s">
        <v>22</v>
      </c>
      <c r="J348" s="1" t="s">
        <v>25</v>
      </c>
      <c r="L348" s="2">
        <v>268.52</v>
      </c>
      <c r="M348" s="1" t="s">
        <v>1</v>
      </c>
    </row>
    <row r="349" spans="1:13" x14ac:dyDescent="0.2">
      <c r="A349" s="6" t="s">
        <v>1</v>
      </c>
      <c r="B349" s="7">
        <f t="shared" si="7"/>
        <v>45217</v>
      </c>
      <c r="C349" s="1" t="s">
        <v>116</v>
      </c>
      <c r="D349" s="1" t="s">
        <v>19</v>
      </c>
      <c r="E349" s="1" t="s">
        <v>20</v>
      </c>
      <c r="F349" s="4">
        <v>45217.587500000001</v>
      </c>
      <c r="G349" s="4">
        <v>45217.587500000001</v>
      </c>
      <c r="H349" s="1" t="s">
        <v>21</v>
      </c>
      <c r="I349" s="1" t="s">
        <v>22</v>
      </c>
      <c r="J349" s="1" t="s">
        <v>25</v>
      </c>
      <c r="L349" s="2">
        <v>268.52</v>
      </c>
      <c r="M349" s="1" t="s">
        <v>1</v>
      </c>
    </row>
    <row r="350" spans="1:13" x14ac:dyDescent="0.2">
      <c r="A350" s="6" t="s">
        <v>1</v>
      </c>
      <c r="B350" s="7">
        <f t="shared" si="7"/>
        <v>45217</v>
      </c>
      <c r="C350" s="1" t="s">
        <v>117</v>
      </c>
      <c r="D350" s="1" t="s">
        <v>19</v>
      </c>
      <c r="E350" s="1" t="s">
        <v>20</v>
      </c>
      <c r="F350" s="4">
        <v>45217.588888888888</v>
      </c>
      <c r="G350" s="4">
        <v>45217.588888888888</v>
      </c>
      <c r="H350" s="1" t="s">
        <v>21</v>
      </c>
      <c r="I350" s="1" t="s">
        <v>22</v>
      </c>
      <c r="J350" s="1" t="s">
        <v>25</v>
      </c>
      <c r="L350" s="2">
        <v>268.52</v>
      </c>
      <c r="M350" s="1" t="s">
        <v>1</v>
      </c>
    </row>
    <row r="351" spans="1:13" x14ac:dyDescent="0.2">
      <c r="A351" s="6" t="s">
        <v>1</v>
      </c>
      <c r="B351" s="7">
        <f t="shared" si="7"/>
        <v>45217</v>
      </c>
      <c r="C351" s="1" t="s">
        <v>118</v>
      </c>
      <c r="D351" s="1" t="s">
        <v>19</v>
      </c>
      <c r="E351" s="1" t="s">
        <v>20</v>
      </c>
      <c r="F351" s="4">
        <v>45217.613194444442</v>
      </c>
      <c r="G351" s="4">
        <v>45217.613194444442</v>
      </c>
      <c r="H351" s="1" t="s">
        <v>21</v>
      </c>
      <c r="I351" s="1" t="s">
        <v>22</v>
      </c>
      <c r="J351" s="1" t="s">
        <v>25</v>
      </c>
      <c r="L351" s="2">
        <v>2012.65</v>
      </c>
      <c r="M351" s="1" t="s">
        <v>1</v>
      </c>
    </row>
    <row r="352" spans="1:13" x14ac:dyDescent="0.2">
      <c r="A352" s="6" t="str">
        <f>VLOOKUP(J352,[1]Clientes!$C:$H,6,0)</f>
        <v>VERDE FORTE</v>
      </c>
      <c r="B352" s="7">
        <f t="shared" si="7"/>
        <v>45217</v>
      </c>
      <c r="C352" s="1" t="s">
        <v>455</v>
      </c>
      <c r="D352" s="1" t="s">
        <v>183</v>
      </c>
      <c r="E352" s="1" t="s">
        <v>184</v>
      </c>
      <c r="F352" s="4">
        <v>45217.651388888888</v>
      </c>
      <c r="G352" s="4">
        <v>45217.651388888888</v>
      </c>
      <c r="H352" s="1" t="s">
        <v>21</v>
      </c>
      <c r="I352" s="1" t="s">
        <v>22</v>
      </c>
      <c r="J352" s="1" t="s">
        <v>27</v>
      </c>
      <c r="L352" s="2">
        <v>1100.92</v>
      </c>
      <c r="M352" s="1" t="s">
        <v>2</v>
      </c>
    </row>
    <row r="353" spans="1:13" x14ac:dyDescent="0.2">
      <c r="A353" s="6" t="str">
        <f>VLOOKUP(J353,[1]Clientes!$C:$H,6,0)</f>
        <v>CBA</v>
      </c>
      <c r="B353" s="7">
        <f t="shared" si="7"/>
        <v>45217</v>
      </c>
      <c r="C353" s="1" t="s">
        <v>456</v>
      </c>
      <c r="D353" s="1" t="s">
        <v>183</v>
      </c>
      <c r="E353" s="1" t="s">
        <v>184</v>
      </c>
      <c r="F353" s="4">
        <v>45217.657638888886</v>
      </c>
      <c r="G353" s="4">
        <v>45217.657638888886</v>
      </c>
      <c r="H353" s="1" t="s">
        <v>21</v>
      </c>
      <c r="I353" s="1" t="s">
        <v>22</v>
      </c>
      <c r="J353" s="1" t="s">
        <v>186</v>
      </c>
      <c r="L353" s="2">
        <v>1733.75</v>
      </c>
      <c r="M353" s="1" t="s">
        <v>0</v>
      </c>
    </row>
    <row r="354" spans="1:13" x14ac:dyDescent="0.2">
      <c r="A354" s="6" t="str">
        <f>VLOOKUP(J354,[1]Clientes!$C:$H,6,0)</f>
        <v>IMERYS</v>
      </c>
      <c r="B354" s="7">
        <f t="shared" si="7"/>
        <v>45217</v>
      </c>
      <c r="C354" s="1" t="s">
        <v>457</v>
      </c>
      <c r="D354" s="1" t="s">
        <v>183</v>
      </c>
      <c r="E354" s="1" t="s">
        <v>184</v>
      </c>
      <c r="F354" s="4">
        <v>45217.674305555556</v>
      </c>
      <c r="G354" s="4">
        <v>45217.674305555556</v>
      </c>
      <c r="H354" s="1" t="s">
        <v>21</v>
      </c>
      <c r="I354" s="1" t="s">
        <v>22</v>
      </c>
      <c r="J354" s="1" t="s">
        <v>188</v>
      </c>
      <c r="L354" s="2">
        <v>1526.41</v>
      </c>
      <c r="M354" s="1" t="s">
        <v>6</v>
      </c>
    </row>
    <row r="355" spans="1:13" x14ac:dyDescent="0.2">
      <c r="A355" s="6" t="str">
        <f>VLOOKUP(J355,[1]Clientes!$C:$H,6,0)</f>
        <v>IMERYS</v>
      </c>
      <c r="B355" s="7">
        <f t="shared" si="7"/>
        <v>45217</v>
      </c>
      <c r="C355" s="1" t="s">
        <v>458</v>
      </c>
      <c r="D355" s="1" t="s">
        <v>183</v>
      </c>
      <c r="E355" s="1" t="s">
        <v>184</v>
      </c>
      <c r="F355" s="4">
        <v>45217.705555555556</v>
      </c>
      <c r="G355" s="4">
        <v>45217.705555555556</v>
      </c>
      <c r="H355" s="1" t="s">
        <v>21</v>
      </c>
      <c r="I355" s="1" t="s">
        <v>22</v>
      </c>
      <c r="J355" s="1" t="s">
        <v>188</v>
      </c>
      <c r="L355" s="2">
        <v>1084.55</v>
      </c>
      <c r="M355" s="1" t="s">
        <v>6</v>
      </c>
    </row>
    <row r="356" spans="1:13" x14ac:dyDescent="0.2">
      <c r="A356" s="6" t="str">
        <f>VLOOKUP(J356,[1]Clientes!$C:$H,6,0)</f>
        <v>IMERYS</v>
      </c>
      <c r="B356" s="7">
        <f t="shared" si="7"/>
        <v>45217</v>
      </c>
      <c r="C356" s="1" t="s">
        <v>459</v>
      </c>
      <c r="D356" s="1" t="s">
        <v>183</v>
      </c>
      <c r="E356" s="1" t="s">
        <v>184</v>
      </c>
      <c r="F356" s="4">
        <v>45217.736111111109</v>
      </c>
      <c r="G356" s="4">
        <v>45217.736111111109</v>
      </c>
      <c r="H356" s="1" t="s">
        <v>21</v>
      </c>
      <c r="I356" s="1" t="s">
        <v>22</v>
      </c>
      <c r="J356" s="1" t="s">
        <v>188</v>
      </c>
      <c r="L356" s="2">
        <v>1448.86</v>
      </c>
      <c r="M356" s="1" t="s">
        <v>6</v>
      </c>
    </row>
    <row r="357" spans="1:13" x14ac:dyDescent="0.2">
      <c r="A357" s="6" t="str">
        <f>VLOOKUP(J357,[1]Clientes!$C:$H,6,0)</f>
        <v>OUTROS</v>
      </c>
      <c r="B357" s="7">
        <f t="shared" si="7"/>
        <v>45217</v>
      </c>
      <c r="C357" s="1" t="s">
        <v>119</v>
      </c>
      <c r="D357" s="1" t="s">
        <v>19</v>
      </c>
      <c r="E357" s="1" t="s">
        <v>20</v>
      </c>
      <c r="F357" s="4">
        <v>45217.756249999999</v>
      </c>
      <c r="G357" s="4">
        <v>45217.756249999999</v>
      </c>
      <c r="H357" s="1" t="s">
        <v>21</v>
      </c>
      <c r="I357" s="1" t="s">
        <v>22</v>
      </c>
      <c r="J357" s="1" t="s">
        <v>120</v>
      </c>
      <c r="L357" s="2">
        <v>3596.4</v>
      </c>
      <c r="M357" s="1" t="s">
        <v>4</v>
      </c>
    </row>
    <row r="358" spans="1:13" x14ac:dyDescent="0.2">
      <c r="A358" s="6" t="str">
        <f>VLOOKUP(J358,[1]Clientes!$C:$H,6,0)</f>
        <v>LANXESS</v>
      </c>
      <c r="B358" s="7">
        <f t="shared" si="7"/>
        <v>45217</v>
      </c>
      <c r="C358" s="1" t="s">
        <v>460</v>
      </c>
      <c r="D358" s="1" t="s">
        <v>183</v>
      </c>
      <c r="E358" s="1" t="s">
        <v>184</v>
      </c>
      <c r="F358" s="4">
        <v>45217.760416666664</v>
      </c>
      <c r="G358" s="4">
        <v>45217.760416666664</v>
      </c>
      <c r="H358" s="1" t="s">
        <v>21</v>
      </c>
      <c r="I358" s="1" t="s">
        <v>22</v>
      </c>
      <c r="J358" s="1" t="s">
        <v>202</v>
      </c>
      <c r="L358" s="2">
        <v>1721.7</v>
      </c>
      <c r="M358" s="1" t="s">
        <v>648</v>
      </c>
    </row>
    <row r="359" spans="1:13" x14ac:dyDescent="0.2">
      <c r="A359" s="6" t="str">
        <f>VLOOKUP(J359,[1]Clientes!$C:$H,6,0)</f>
        <v>UNIPAR</v>
      </c>
      <c r="B359" s="7">
        <f t="shared" si="7"/>
        <v>45217</v>
      </c>
      <c r="C359" s="1" t="s">
        <v>461</v>
      </c>
      <c r="D359" s="1" t="s">
        <v>183</v>
      </c>
      <c r="E359" s="1" t="s">
        <v>184</v>
      </c>
      <c r="F359" s="4">
        <v>45217.765972222223</v>
      </c>
      <c r="G359" s="4">
        <v>45217.765972222223</v>
      </c>
      <c r="H359" s="1" t="s">
        <v>21</v>
      </c>
      <c r="I359" s="1" t="s">
        <v>22</v>
      </c>
      <c r="J359" s="1" t="s">
        <v>63</v>
      </c>
      <c r="L359" s="2">
        <v>3425.27</v>
      </c>
      <c r="M359" s="1" t="s">
        <v>647</v>
      </c>
    </row>
    <row r="360" spans="1:13" x14ac:dyDescent="0.2">
      <c r="A360" s="6" t="str">
        <f>VLOOKUP(J360,[1]Clientes!$C:$H,6,0)</f>
        <v>LANXESS</v>
      </c>
      <c r="B360" s="7">
        <f t="shared" si="7"/>
        <v>45217</v>
      </c>
      <c r="C360" s="1" t="s">
        <v>462</v>
      </c>
      <c r="D360" s="1" t="s">
        <v>183</v>
      </c>
      <c r="E360" s="1" t="s">
        <v>184</v>
      </c>
      <c r="F360" s="4">
        <v>45217.786111111112</v>
      </c>
      <c r="G360" s="4">
        <v>45217.786111111112</v>
      </c>
      <c r="H360" s="1" t="s">
        <v>21</v>
      </c>
      <c r="I360" s="1" t="s">
        <v>22</v>
      </c>
      <c r="J360" s="1" t="s">
        <v>200</v>
      </c>
      <c r="L360" s="2">
        <v>854.19</v>
      </c>
      <c r="M360" s="1" t="s">
        <v>648</v>
      </c>
    </row>
    <row r="361" spans="1:13" x14ac:dyDescent="0.2">
      <c r="A361" s="6" t="str">
        <f>VLOOKUP(J361,[1]Clientes!$C:$H,6,0)</f>
        <v>CBA</v>
      </c>
      <c r="B361" s="7">
        <f t="shared" si="7"/>
        <v>45217</v>
      </c>
      <c r="C361" s="1" t="s">
        <v>463</v>
      </c>
      <c r="D361" s="1" t="s">
        <v>183</v>
      </c>
      <c r="E361" s="1" t="s">
        <v>184</v>
      </c>
      <c r="F361" s="4">
        <v>45217.87222222222</v>
      </c>
      <c r="G361" s="4">
        <v>45217.87222222222</v>
      </c>
      <c r="H361" s="1" t="s">
        <v>21</v>
      </c>
      <c r="I361" s="1" t="s">
        <v>22</v>
      </c>
      <c r="J361" s="1" t="s">
        <v>69</v>
      </c>
      <c r="L361" s="2">
        <v>29467.69</v>
      </c>
      <c r="M361" s="1" t="s">
        <v>0</v>
      </c>
    </row>
    <row r="362" spans="1:13" x14ac:dyDescent="0.2">
      <c r="A362" s="6" t="s">
        <v>1</v>
      </c>
      <c r="B362" s="7">
        <f t="shared" si="7"/>
        <v>45217</v>
      </c>
      <c r="C362" s="1" t="s">
        <v>121</v>
      </c>
      <c r="D362" s="1" t="s">
        <v>19</v>
      </c>
      <c r="E362" s="1" t="s">
        <v>20</v>
      </c>
      <c r="F362" s="4">
        <v>45217.881944444445</v>
      </c>
      <c r="G362" s="4">
        <v>45217.881944444445</v>
      </c>
      <c r="H362" s="1" t="s">
        <v>21</v>
      </c>
      <c r="I362" s="1" t="s">
        <v>22</v>
      </c>
      <c r="J362" s="1" t="s">
        <v>25</v>
      </c>
      <c r="L362" s="2">
        <v>2085.75</v>
      </c>
      <c r="M362" s="1" t="s">
        <v>1</v>
      </c>
    </row>
    <row r="363" spans="1:13" x14ac:dyDescent="0.2">
      <c r="A363" s="6" t="s">
        <v>1</v>
      </c>
      <c r="B363" s="7">
        <f t="shared" si="7"/>
        <v>45217</v>
      </c>
      <c r="C363" s="1" t="s">
        <v>122</v>
      </c>
      <c r="D363" s="1" t="s">
        <v>19</v>
      </c>
      <c r="E363" s="1" t="s">
        <v>20</v>
      </c>
      <c r="F363" s="4">
        <v>45217.883333333331</v>
      </c>
      <c r="G363" s="4">
        <v>45217.883333333331</v>
      </c>
      <c r="H363" s="1" t="s">
        <v>21</v>
      </c>
      <c r="I363" s="1" t="s">
        <v>22</v>
      </c>
      <c r="J363" s="1" t="s">
        <v>25</v>
      </c>
      <c r="L363" s="2">
        <v>2069.98</v>
      </c>
      <c r="M363" s="1" t="s">
        <v>1</v>
      </c>
    </row>
    <row r="364" spans="1:13" x14ac:dyDescent="0.2">
      <c r="A364" s="6" t="s">
        <v>1</v>
      </c>
      <c r="B364" s="7">
        <f t="shared" si="7"/>
        <v>45217</v>
      </c>
      <c r="C364" s="1" t="s">
        <v>123</v>
      </c>
      <c r="D364" s="1" t="s">
        <v>19</v>
      </c>
      <c r="E364" s="1" t="s">
        <v>20</v>
      </c>
      <c r="F364" s="4">
        <v>45217.884027777778</v>
      </c>
      <c r="G364" s="4">
        <v>45217.884027777778</v>
      </c>
      <c r="H364" s="1" t="s">
        <v>21</v>
      </c>
      <c r="I364" s="1" t="s">
        <v>22</v>
      </c>
      <c r="J364" s="1" t="s">
        <v>25</v>
      </c>
      <c r="L364" s="2">
        <v>2764.88</v>
      </c>
      <c r="M364" s="1" t="s">
        <v>1</v>
      </c>
    </row>
    <row r="365" spans="1:13" x14ac:dyDescent="0.2">
      <c r="A365" s="6" t="s">
        <v>1</v>
      </c>
      <c r="B365" s="7">
        <f t="shared" si="7"/>
        <v>45217</v>
      </c>
      <c r="C365" s="1" t="s">
        <v>124</v>
      </c>
      <c r="D365" s="1" t="s">
        <v>19</v>
      </c>
      <c r="E365" s="1" t="s">
        <v>20</v>
      </c>
      <c r="F365" s="4">
        <v>45217.884722222225</v>
      </c>
      <c r="G365" s="4">
        <v>45217.884722222225</v>
      </c>
      <c r="H365" s="1" t="s">
        <v>21</v>
      </c>
      <c r="I365" s="1" t="s">
        <v>22</v>
      </c>
      <c r="J365" s="1" t="s">
        <v>25</v>
      </c>
      <c r="L365" s="2">
        <v>2764.88</v>
      </c>
      <c r="M365" s="1" t="s">
        <v>1</v>
      </c>
    </row>
    <row r="366" spans="1:13" x14ac:dyDescent="0.2">
      <c r="A366" s="6" t="s">
        <v>1</v>
      </c>
      <c r="B366" s="7">
        <f t="shared" si="7"/>
        <v>45217</v>
      </c>
      <c r="C366" s="1" t="s">
        <v>125</v>
      </c>
      <c r="D366" s="1" t="s">
        <v>19</v>
      </c>
      <c r="E366" s="1" t="s">
        <v>20</v>
      </c>
      <c r="F366" s="4">
        <v>45217.885416666664</v>
      </c>
      <c r="G366" s="4">
        <v>45217.885416666664</v>
      </c>
      <c r="H366" s="1" t="s">
        <v>21</v>
      </c>
      <c r="I366" s="1" t="s">
        <v>22</v>
      </c>
      <c r="J366" s="1" t="s">
        <v>25</v>
      </c>
      <c r="L366" s="2">
        <v>2767.4</v>
      </c>
      <c r="M366" s="1" t="s">
        <v>1</v>
      </c>
    </row>
    <row r="367" spans="1:13" x14ac:dyDescent="0.2">
      <c r="A367" s="6" t="s">
        <v>1</v>
      </c>
      <c r="B367" s="7">
        <f t="shared" si="7"/>
        <v>45217</v>
      </c>
      <c r="C367" s="1" t="s">
        <v>126</v>
      </c>
      <c r="D367" s="1" t="s">
        <v>19</v>
      </c>
      <c r="E367" s="1" t="s">
        <v>20</v>
      </c>
      <c r="F367" s="4">
        <v>45217.885416666664</v>
      </c>
      <c r="G367" s="4">
        <v>45217.885416666664</v>
      </c>
      <c r="H367" s="1" t="s">
        <v>21</v>
      </c>
      <c r="I367" s="1" t="s">
        <v>22</v>
      </c>
      <c r="J367" s="1" t="s">
        <v>25</v>
      </c>
      <c r="L367" s="2">
        <v>2767.4</v>
      </c>
      <c r="M367" s="1" t="s">
        <v>1</v>
      </c>
    </row>
    <row r="368" spans="1:13" x14ac:dyDescent="0.2">
      <c r="A368" s="6" t="str">
        <f>VLOOKUP(J368,[1]Clientes!$C:$H,6,0)</f>
        <v>CBA</v>
      </c>
      <c r="B368" s="7">
        <f t="shared" si="7"/>
        <v>45217</v>
      </c>
      <c r="C368" s="1" t="s">
        <v>464</v>
      </c>
      <c r="D368" s="1" t="s">
        <v>183</v>
      </c>
      <c r="E368" s="1" t="s">
        <v>184</v>
      </c>
      <c r="F368" s="4">
        <v>45217.897916666669</v>
      </c>
      <c r="G368" s="4">
        <v>45217.897916666669</v>
      </c>
      <c r="H368" s="1" t="s">
        <v>21</v>
      </c>
      <c r="I368" s="1" t="s">
        <v>22</v>
      </c>
      <c r="J368" s="1" t="s">
        <v>69</v>
      </c>
      <c r="L368" s="2">
        <v>1629.08</v>
      </c>
      <c r="M368" s="1" t="s">
        <v>0</v>
      </c>
    </row>
    <row r="369" spans="1:13" x14ac:dyDescent="0.2">
      <c r="A369" s="6" t="str">
        <f>VLOOKUP(J369,[1]Clientes!$C:$H,6,0)</f>
        <v>CBA</v>
      </c>
      <c r="B369" s="7">
        <f t="shared" si="7"/>
        <v>45217</v>
      </c>
      <c r="C369" s="1" t="s">
        <v>465</v>
      </c>
      <c r="D369" s="1" t="s">
        <v>183</v>
      </c>
      <c r="E369" s="1" t="s">
        <v>184</v>
      </c>
      <c r="F369" s="4">
        <v>45217.987500000003</v>
      </c>
      <c r="G369" s="4">
        <v>45217.987500000003</v>
      </c>
      <c r="H369" s="1" t="s">
        <v>21</v>
      </c>
      <c r="I369" s="1" t="s">
        <v>22</v>
      </c>
      <c r="J369" s="1" t="s">
        <v>381</v>
      </c>
      <c r="L369" s="2">
        <v>5455</v>
      </c>
      <c r="M369" s="1" t="s">
        <v>0</v>
      </c>
    </row>
    <row r="370" spans="1:13" x14ac:dyDescent="0.2">
      <c r="A370" s="6" t="str">
        <f>VLOOKUP(J370,[1]Clientes!$C:$H,6,0)</f>
        <v>CBA</v>
      </c>
      <c r="B370" s="7">
        <f t="shared" ref="B370:B419" si="8">QUOTIENT(F370,1)</f>
        <v>45218</v>
      </c>
      <c r="C370" s="1" t="s">
        <v>466</v>
      </c>
      <c r="D370" s="1" t="s">
        <v>183</v>
      </c>
      <c r="E370" s="1" t="s">
        <v>184</v>
      </c>
      <c r="F370" s="4">
        <v>45218.343055555553</v>
      </c>
      <c r="G370" s="4">
        <v>45218.343055555553</v>
      </c>
      <c r="H370" s="1" t="s">
        <v>21</v>
      </c>
      <c r="I370" s="1" t="s">
        <v>22</v>
      </c>
      <c r="J370" s="1" t="s">
        <v>69</v>
      </c>
      <c r="L370" s="2">
        <v>3419.26</v>
      </c>
      <c r="M370" s="1" t="s">
        <v>0</v>
      </c>
    </row>
    <row r="371" spans="1:13" x14ac:dyDescent="0.2">
      <c r="A371" s="6" t="str">
        <f>VLOOKUP(J371,[1]Clientes!$C:$H,6,0)</f>
        <v>CBA</v>
      </c>
      <c r="B371" s="7">
        <f t="shared" si="8"/>
        <v>45218</v>
      </c>
      <c r="C371" s="1" t="s">
        <v>467</v>
      </c>
      <c r="D371" s="1" t="s">
        <v>183</v>
      </c>
      <c r="E371" s="1" t="s">
        <v>184</v>
      </c>
      <c r="F371" s="4">
        <v>45218.347222222219</v>
      </c>
      <c r="G371" s="4">
        <v>45218.347222222219</v>
      </c>
      <c r="H371" s="1" t="s">
        <v>21</v>
      </c>
      <c r="I371" s="1" t="s">
        <v>22</v>
      </c>
      <c r="J371" s="1" t="s">
        <v>69</v>
      </c>
      <c r="L371" s="2">
        <v>3418.36</v>
      </c>
      <c r="M371" s="1" t="s">
        <v>0</v>
      </c>
    </row>
    <row r="372" spans="1:13" x14ac:dyDescent="0.2">
      <c r="A372" s="6" t="str">
        <f>VLOOKUP(J372,[1]Clientes!$C:$H,6,0)</f>
        <v>UNIPAR</v>
      </c>
      <c r="B372" s="7">
        <f t="shared" si="8"/>
        <v>45218</v>
      </c>
      <c r="C372" s="1" t="s">
        <v>468</v>
      </c>
      <c r="D372" s="1" t="s">
        <v>183</v>
      </c>
      <c r="E372" s="1" t="s">
        <v>184</v>
      </c>
      <c r="F372" s="4">
        <v>45218.356944444444</v>
      </c>
      <c r="G372" s="4">
        <v>45218.356944444444</v>
      </c>
      <c r="H372" s="1" t="s">
        <v>21</v>
      </c>
      <c r="I372" s="1" t="s">
        <v>22</v>
      </c>
      <c r="J372" s="1" t="s">
        <v>63</v>
      </c>
      <c r="L372" s="2">
        <v>8244.49</v>
      </c>
      <c r="M372" s="1" t="s">
        <v>647</v>
      </c>
    </row>
    <row r="373" spans="1:13" x14ac:dyDescent="0.2">
      <c r="A373" s="6" t="str">
        <f>VLOOKUP(J373,[1]Clientes!$C:$H,6,0)</f>
        <v>CBA</v>
      </c>
      <c r="B373" s="7">
        <f t="shared" si="8"/>
        <v>45218</v>
      </c>
      <c r="C373" s="1" t="s">
        <v>469</v>
      </c>
      <c r="D373" s="1" t="s">
        <v>183</v>
      </c>
      <c r="E373" s="1" t="s">
        <v>184</v>
      </c>
      <c r="F373" s="4">
        <v>45218.373611111114</v>
      </c>
      <c r="G373" s="4">
        <v>45218.373611111114</v>
      </c>
      <c r="H373" s="1" t="s">
        <v>21</v>
      </c>
      <c r="I373" s="1" t="s">
        <v>22</v>
      </c>
      <c r="J373" s="1" t="s">
        <v>69</v>
      </c>
      <c r="L373" s="2">
        <v>3359.51</v>
      </c>
      <c r="M373" s="1" t="s">
        <v>0</v>
      </c>
    </row>
    <row r="374" spans="1:13" x14ac:dyDescent="0.2">
      <c r="A374" s="6" t="str">
        <f>VLOOKUP(J374,[1]Clientes!$C:$H,6,0)</f>
        <v>UNIPAR</v>
      </c>
      <c r="B374" s="7">
        <f t="shared" si="8"/>
        <v>45218</v>
      </c>
      <c r="C374" s="1" t="s">
        <v>470</v>
      </c>
      <c r="D374" s="1" t="s">
        <v>183</v>
      </c>
      <c r="E374" s="1" t="s">
        <v>184</v>
      </c>
      <c r="F374" s="4">
        <v>45218.472222222219</v>
      </c>
      <c r="G374" s="4">
        <v>45218.472222222219</v>
      </c>
      <c r="H374" s="1" t="s">
        <v>21</v>
      </c>
      <c r="I374" s="1" t="s">
        <v>22</v>
      </c>
      <c r="J374" s="1" t="s">
        <v>63</v>
      </c>
      <c r="L374" s="2">
        <v>8219.0300000000007</v>
      </c>
      <c r="M374" s="1" t="s">
        <v>647</v>
      </c>
    </row>
    <row r="375" spans="1:13" x14ac:dyDescent="0.2">
      <c r="A375" s="6" t="str">
        <f>VLOOKUP(J375,[1]Clientes!$C:$H,6,0)</f>
        <v>CBA</v>
      </c>
      <c r="B375" s="7">
        <f t="shared" si="8"/>
        <v>45218</v>
      </c>
      <c r="C375" s="1" t="s">
        <v>471</v>
      </c>
      <c r="D375" s="1" t="s">
        <v>183</v>
      </c>
      <c r="E375" s="1" t="s">
        <v>184</v>
      </c>
      <c r="F375" s="4">
        <v>45218.486805555556</v>
      </c>
      <c r="G375" s="4">
        <v>45218.486805555556</v>
      </c>
      <c r="H375" s="1" t="s">
        <v>21</v>
      </c>
      <c r="I375" s="1" t="s">
        <v>22</v>
      </c>
      <c r="J375" s="1" t="s">
        <v>69</v>
      </c>
      <c r="L375" s="2">
        <v>1480.49</v>
      </c>
      <c r="M375" s="1" t="s">
        <v>0</v>
      </c>
    </row>
    <row r="376" spans="1:13" x14ac:dyDescent="0.2">
      <c r="A376" s="6" t="str">
        <f>VLOOKUP(J376,[1]Clientes!$C:$H,6,0)</f>
        <v>CBA</v>
      </c>
      <c r="B376" s="7">
        <f t="shared" si="8"/>
        <v>45218</v>
      </c>
      <c r="C376" s="1" t="s">
        <v>472</v>
      </c>
      <c r="D376" s="1" t="s">
        <v>183</v>
      </c>
      <c r="E376" s="1" t="s">
        <v>184</v>
      </c>
      <c r="F376" s="4">
        <v>45218.54583333333</v>
      </c>
      <c r="G376" s="4">
        <v>45218.54583333333</v>
      </c>
      <c r="H376" s="1" t="s">
        <v>21</v>
      </c>
      <c r="I376" s="1" t="s">
        <v>22</v>
      </c>
      <c r="J376" s="1" t="s">
        <v>69</v>
      </c>
      <c r="L376" s="2">
        <v>1478.36</v>
      </c>
      <c r="M376" s="1" t="s">
        <v>0</v>
      </c>
    </row>
    <row r="377" spans="1:13" x14ac:dyDescent="0.2">
      <c r="A377" s="6" t="str">
        <f>VLOOKUP(J377,[1]Clientes!$C:$H,6,0)</f>
        <v>CBA</v>
      </c>
      <c r="B377" s="7">
        <f t="shared" si="8"/>
        <v>45218</v>
      </c>
      <c r="C377" s="1" t="s">
        <v>473</v>
      </c>
      <c r="D377" s="1" t="s">
        <v>183</v>
      </c>
      <c r="E377" s="1" t="s">
        <v>184</v>
      </c>
      <c r="F377" s="4">
        <v>45218.555555555555</v>
      </c>
      <c r="G377" s="4">
        <v>45218.555555555555</v>
      </c>
      <c r="H377" s="1" t="s">
        <v>21</v>
      </c>
      <c r="I377" s="1" t="s">
        <v>22</v>
      </c>
      <c r="J377" s="1" t="s">
        <v>69</v>
      </c>
      <c r="L377" s="2">
        <v>3420.61</v>
      </c>
      <c r="M377" s="1" t="s">
        <v>0</v>
      </c>
    </row>
    <row r="378" spans="1:13" x14ac:dyDescent="0.2">
      <c r="A378" s="6" t="str">
        <f>VLOOKUP(J378,[1]Clientes!$C:$H,6,0)</f>
        <v>CBA</v>
      </c>
      <c r="B378" s="7">
        <f t="shared" si="8"/>
        <v>45218</v>
      </c>
      <c r="C378" s="1" t="s">
        <v>474</v>
      </c>
      <c r="D378" s="1" t="s">
        <v>183</v>
      </c>
      <c r="E378" s="1" t="s">
        <v>184</v>
      </c>
      <c r="F378" s="4">
        <v>45218.557638888888</v>
      </c>
      <c r="G378" s="4">
        <v>45218.557638888888</v>
      </c>
      <c r="H378" s="1" t="s">
        <v>21</v>
      </c>
      <c r="I378" s="1" t="s">
        <v>22</v>
      </c>
      <c r="J378" s="1" t="s">
        <v>69</v>
      </c>
      <c r="L378" s="2">
        <v>3420.01</v>
      </c>
      <c r="M378" s="1" t="s">
        <v>0</v>
      </c>
    </row>
    <row r="379" spans="1:13" x14ac:dyDescent="0.2">
      <c r="A379" s="6" t="str">
        <f>VLOOKUP(J379,[1]Clientes!$C:$H,6,0)</f>
        <v>CBA</v>
      </c>
      <c r="B379" s="7">
        <f t="shared" si="8"/>
        <v>45218</v>
      </c>
      <c r="C379" s="1" t="s">
        <v>475</v>
      </c>
      <c r="D379" s="1" t="s">
        <v>183</v>
      </c>
      <c r="E379" s="1" t="s">
        <v>184</v>
      </c>
      <c r="F379" s="4">
        <v>45218.590277777781</v>
      </c>
      <c r="G379" s="4">
        <v>45218.590277777781</v>
      </c>
      <c r="H379" s="1" t="s">
        <v>21</v>
      </c>
      <c r="I379" s="1" t="s">
        <v>22</v>
      </c>
      <c r="J379" s="1" t="s">
        <v>69</v>
      </c>
      <c r="L379" s="2">
        <v>2306.7600000000002</v>
      </c>
      <c r="M379" s="1" t="s">
        <v>0</v>
      </c>
    </row>
    <row r="380" spans="1:13" x14ac:dyDescent="0.2">
      <c r="A380" s="6" t="str">
        <f>VLOOKUP(J380,[1]Clientes!$C:$H,6,0)</f>
        <v>AMBEV</v>
      </c>
      <c r="B380" s="7">
        <f t="shared" si="8"/>
        <v>45218</v>
      </c>
      <c r="C380" s="1" t="s">
        <v>476</v>
      </c>
      <c r="D380" s="1" t="s">
        <v>183</v>
      </c>
      <c r="E380" s="1" t="s">
        <v>184</v>
      </c>
      <c r="F380" s="4">
        <v>45218.626388888886</v>
      </c>
      <c r="G380" s="4">
        <v>45218.626388888886</v>
      </c>
      <c r="H380" s="1" t="s">
        <v>21</v>
      </c>
      <c r="I380" s="1" t="s">
        <v>22</v>
      </c>
      <c r="J380" s="1" t="s">
        <v>477</v>
      </c>
      <c r="L380" s="2">
        <v>6840.55</v>
      </c>
      <c r="M380" s="1" t="s">
        <v>3</v>
      </c>
    </row>
    <row r="381" spans="1:13" x14ac:dyDescent="0.2">
      <c r="A381" s="6" t="s">
        <v>1</v>
      </c>
      <c r="B381" s="7">
        <f t="shared" si="8"/>
        <v>45218</v>
      </c>
      <c r="C381" s="1" t="s">
        <v>127</v>
      </c>
      <c r="D381" s="1" t="s">
        <v>19</v>
      </c>
      <c r="E381" s="1" t="s">
        <v>20</v>
      </c>
      <c r="F381" s="4">
        <v>45218.640277777777</v>
      </c>
      <c r="G381" s="4">
        <v>45218.640277777777</v>
      </c>
      <c r="H381" s="1" t="s">
        <v>21</v>
      </c>
      <c r="I381" s="1" t="s">
        <v>22</v>
      </c>
      <c r="J381" s="1" t="s">
        <v>25</v>
      </c>
      <c r="L381" s="2">
        <v>1394.86</v>
      </c>
      <c r="M381" s="1" t="s">
        <v>1</v>
      </c>
    </row>
    <row r="382" spans="1:13" x14ac:dyDescent="0.2">
      <c r="A382" s="6" t="str">
        <f>VLOOKUP(J382,[1]Clientes!$C:$H,6,0)</f>
        <v>CBA</v>
      </c>
      <c r="B382" s="7">
        <f t="shared" si="8"/>
        <v>45218</v>
      </c>
      <c r="C382" s="1" t="s">
        <v>478</v>
      </c>
      <c r="D382" s="1" t="s">
        <v>183</v>
      </c>
      <c r="E382" s="1" t="s">
        <v>184</v>
      </c>
      <c r="F382" s="4">
        <v>45218.647222222222</v>
      </c>
      <c r="G382" s="4">
        <v>45218.647222222222</v>
      </c>
      <c r="H382" s="1" t="s">
        <v>21</v>
      </c>
      <c r="I382" s="1" t="s">
        <v>22</v>
      </c>
      <c r="J382" s="1" t="s">
        <v>69</v>
      </c>
      <c r="L382" s="2">
        <v>3418.42</v>
      </c>
      <c r="M382" s="1" t="s">
        <v>0</v>
      </c>
    </row>
    <row r="383" spans="1:13" x14ac:dyDescent="0.2">
      <c r="A383" s="6" t="str">
        <f>VLOOKUP(J383,[1]Clientes!$C:$H,6,0)</f>
        <v>CBA</v>
      </c>
      <c r="B383" s="7">
        <f t="shared" si="8"/>
        <v>45218</v>
      </c>
      <c r="C383" s="1" t="s">
        <v>479</v>
      </c>
      <c r="D383" s="1" t="s">
        <v>183</v>
      </c>
      <c r="E383" s="1" t="s">
        <v>184</v>
      </c>
      <c r="F383" s="4">
        <v>45218.648611111108</v>
      </c>
      <c r="G383" s="4">
        <v>45218.648611111108</v>
      </c>
      <c r="H383" s="1" t="s">
        <v>21</v>
      </c>
      <c r="I383" s="1" t="s">
        <v>22</v>
      </c>
      <c r="J383" s="1" t="s">
        <v>69</v>
      </c>
      <c r="L383" s="2">
        <v>3418.78</v>
      </c>
      <c r="M383" s="1" t="s">
        <v>0</v>
      </c>
    </row>
    <row r="384" spans="1:13" x14ac:dyDescent="0.2">
      <c r="A384" s="6" t="str">
        <f>VLOOKUP(J384,[1]Clientes!$C:$H,6,0)</f>
        <v>CBA</v>
      </c>
      <c r="B384" s="7">
        <f t="shared" si="8"/>
        <v>45218</v>
      </c>
      <c r="C384" s="1" t="s">
        <v>480</v>
      </c>
      <c r="D384" s="1" t="s">
        <v>183</v>
      </c>
      <c r="E384" s="1" t="s">
        <v>184</v>
      </c>
      <c r="F384" s="4">
        <v>45218.650694444441</v>
      </c>
      <c r="G384" s="4">
        <v>45218.650694444441</v>
      </c>
      <c r="H384" s="1" t="s">
        <v>21</v>
      </c>
      <c r="I384" s="1" t="s">
        <v>22</v>
      </c>
      <c r="J384" s="1" t="s">
        <v>69</v>
      </c>
      <c r="L384" s="2">
        <v>3420.58</v>
      </c>
      <c r="M384" s="1" t="s">
        <v>0</v>
      </c>
    </row>
    <row r="385" spans="1:13" x14ac:dyDescent="0.2">
      <c r="A385" s="6" t="str">
        <f>VLOOKUP(J385,[1]Clientes!$C:$H,6,0)</f>
        <v>CBA</v>
      </c>
      <c r="B385" s="7">
        <f t="shared" si="8"/>
        <v>45218</v>
      </c>
      <c r="C385" s="1" t="s">
        <v>481</v>
      </c>
      <c r="D385" s="1" t="s">
        <v>183</v>
      </c>
      <c r="E385" s="1" t="s">
        <v>184</v>
      </c>
      <c r="F385" s="4">
        <v>45218.652083333334</v>
      </c>
      <c r="G385" s="4">
        <v>45218.652083333334</v>
      </c>
      <c r="H385" s="1" t="s">
        <v>21</v>
      </c>
      <c r="I385" s="1" t="s">
        <v>22</v>
      </c>
      <c r="J385" s="1" t="s">
        <v>69</v>
      </c>
      <c r="L385" s="2">
        <v>3421.3</v>
      </c>
      <c r="M385" s="1" t="s">
        <v>0</v>
      </c>
    </row>
    <row r="386" spans="1:13" x14ac:dyDescent="0.2">
      <c r="A386" s="6" t="str">
        <f>VLOOKUP(J386,[1]Clientes!$C:$H,6,0)</f>
        <v>OUTROS</v>
      </c>
      <c r="B386" s="7">
        <f t="shared" si="8"/>
        <v>45218</v>
      </c>
      <c r="C386" s="1" t="s">
        <v>482</v>
      </c>
      <c r="D386" s="1" t="s">
        <v>183</v>
      </c>
      <c r="E386" s="1" t="s">
        <v>184</v>
      </c>
      <c r="F386" s="4">
        <v>45218.654166666667</v>
      </c>
      <c r="G386" s="4">
        <v>45218.654166666667</v>
      </c>
      <c r="H386" s="1" t="s">
        <v>21</v>
      </c>
      <c r="I386" s="1" t="s">
        <v>22</v>
      </c>
      <c r="J386" s="1" t="s">
        <v>234</v>
      </c>
      <c r="L386" s="2">
        <v>980</v>
      </c>
      <c r="M386" s="1" t="s">
        <v>4</v>
      </c>
    </row>
    <row r="387" spans="1:13" x14ac:dyDescent="0.2">
      <c r="A387" s="6" t="str">
        <f>VLOOKUP(J387,[1]Clientes!$C:$H,6,0)</f>
        <v>CBA</v>
      </c>
      <c r="B387" s="7">
        <f t="shared" si="8"/>
        <v>45218</v>
      </c>
      <c r="C387" s="1" t="s">
        <v>483</v>
      </c>
      <c r="D387" s="1" t="s">
        <v>183</v>
      </c>
      <c r="E387" s="1" t="s">
        <v>184</v>
      </c>
      <c r="F387" s="4">
        <v>45218.65625</v>
      </c>
      <c r="G387" s="4">
        <v>45218.65625</v>
      </c>
      <c r="H387" s="1" t="s">
        <v>21</v>
      </c>
      <c r="I387" s="1" t="s">
        <v>22</v>
      </c>
      <c r="J387" s="1" t="s">
        <v>69</v>
      </c>
      <c r="L387" s="2">
        <v>3421.69</v>
      </c>
      <c r="M387" s="1" t="s">
        <v>0</v>
      </c>
    </row>
    <row r="388" spans="1:13" x14ac:dyDescent="0.2">
      <c r="A388" s="6" t="str">
        <f>VLOOKUP(J388,[1]Clientes!$C:$H,6,0)</f>
        <v>CBA</v>
      </c>
      <c r="B388" s="7">
        <f t="shared" si="8"/>
        <v>45218</v>
      </c>
      <c r="C388" s="1" t="s">
        <v>484</v>
      </c>
      <c r="D388" s="1" t="s">
        <v>183</v>
      </c>
      <c r="E388" s="1" t="s">
        <v>184</v>
      </c>
      <c r="F388" s="4">
        <v>45218.65902777778</v>
      </c>
      <c r="G388" s="4">
        <v>45218.65902777778</v>
      </c>
      <c r="H388" s="1" t="s">
        <v>21</v>
      </c>
      <c r="I388" s="1" t="s">
        <v>22</v>
      </c>
      <c r="J388" s="1" t="s">
        <v>69</v>
      </c>
      <c r="L388" s="2">
        <v>3418.48</v>
      </c>
      <c r="M388" s="1" t="s">
        <v>0</v>
      </c>
    </row>
    <row r="389" spans="1:13" x14ac:dyDescent="0.2">
      <c r="A389" s="6" t="s">
        <v>1</v>
      </c>
      <c r="B389" s="7">
        <f t="shared" si="8"/>
        <v>45218</v>
      </c>
      <c r="C389" s="1" t="s">
        <v>128</v>
      </c>
      <c r="D389" s="1" t="s">
        <v>19</v>
      </c>
      <c r="E389" s="1" t="s">
        <v>20</v>
      </c>
      <c r="F389" s="4">
        <v>45218.685416666667</v>
      </c>
      <c r="G389" s="4">
        <v>45218.685416666667</v>
      </c>
      <c r="H389" s="1" t="s">
        <v>21</v>
      </c>
      <c r="I389" s="1" t="s">
        <v>22</v>
      </c>
      <c r="J389" s="1" t="s">
        <v>25</v>
      </c>
      <c r="L389" s="2">
        <v>1394.86</v>
      </c>
      <c r="M389" s="1" t="s">
        <v>1</v>
      </c>
    </row>
    <row r="390" spans="1:13" x14ac:dyDescent="0.2">
      <c r="A390" s="6" t="str">
        <f>VLOOKUP(J390,[1]Clientes!$C:$H,6,0)</f>
        <v>CBA</v>
      </c>
      <c r="B390" s="7">
        <f t="shared" si="8"/>
        <v>45218</v>
      </c>
      <c r="C390" s="1" t="s">
        <v>485</v>
      </c>
      <c r="D390" s="1" t="s">
        <v>183</v>
      </c>
      <c r="E390" s="1" t="s">
        <v>184</v>
      </c>
      <c r="F390" s="4">
        <v>45218.685416666667</v>
      </c>
      <c r="G390" s="4">
        <v>45218.685416666667</v>
      </c>
      <c r="H390" s="1" t="s">
        <v>21</v>
      </c>
      <c r="I390" s="1" t="s">
        <v>22</v>
      </c>
      <c r="J390" s="1" t="s">
        <v>69</v>
      </c>
      <c r="L390" s="2">
        <v>5531.94</v>
      </c>
      <c r="M390" s="1" t="s">
        <v>0</v>
      </c>
    </row>
    <row r="391" spans="1:13" x14ac:dyDescent="0.2">
      <c r="A391" s="6" t="s">
        <v>1</v>
      </c>
      <c r="B391" s="7">
        <f t="shared" si="8"/>
        <v>45218</v>
      </c>
      <c r="C391" s="1" t="s">
        <v>129</v>
      </c>
      <c r="D391" s="1" t="s">
        <v>19</v>
      </c>
      <c r="E391" s="1" t="s">
        <v>20</v>
      </c>
      <c r="F391" s="4">
        <v>45218.689583333333</v>
      </c>
      <c r="G391" s="4">
        <v>45218.689583333333</v>
      </c>
      <c r="H391" s="1" t="s">
        <v>21</v>
      </c>
      <c r="I391" s="1" t="s">
        <v>22</v>
      </c>
      <c r="J391" s="1" t="s">
        <v>25</v>
      </c>
      <c r="L391" s="2">
        <v>2222.1999999999998</v>
      </c>
      <c r="M391" s="1" t="s">
        <v>1</v>
      </c>
    </row>
    <row r="392" spans="1:13" x14ac:dyDescent="0.2">
      <c r="A392" s="6" t="str">
        <f>VLOOKUP(J392,[1]Clientes!$C:$H,6,0)</f>
        <v>CBA</v>
      </c>
      <c r="B392" s="7">
        <f t="shared" si="8"/>
        <v>45218</v>
      </c>
      <c r="C392" s="1" t="s">
        <v>486</v>
      </c>
      <c r="D392" s="1" t="s">
        <v>183</v>
      </c>
      <c r="E392" s="1" t="s">
        <v>184</v>
      </c>
      <c r="F392" s="4">
        <v>45218.711805555555</v>
      </c>
      <c r="G392" s="4">
        <v>45218.711805555555</v>
      </c>
      <c r="H392" s="1" t="s">
        <v>21</v>
      </c>
      <c r="I392" s="1" t="s">
        <v>22</v>
      </c>
      <c r="J392" s="1" t="s">
        <v>381</v>
      </c>
      <c r="L392" s="2">
        <v>5455.43</v>
      </c>
      <c r="M392" s="1" t="s">
        <v>0</v>
      </c>
    </row>
    <row r="393" spans="1:13" x14ac:dyDescent="0.2">
      <c r="A393" s="6" t="s">
        <v>1</v>
      </c>
      <c r="B393" s="7">
        <f t="shared" si="8"/>
        <v>45218</v>
      </c>
      <c r="C393" s="1" t="s">
        <v>130</v>
      </c>
      <c r="D393" s="1" t="s">
        <v>19</v>
      </c>
      <c r="E393" s="1" t="s">
        <v>20</v>
      </c>
      <c r="F393" s="4">
        <v>45218.723611111112</v>
      </c>
      <c r="G393" s="4">
        <v>45218.723611111112</v>
      </c>
      <c r="H393" s="1" t="s">
        <v>21</v>
      </c>
      <c r="I393" s="1" t="s">
        <v>22</v>
      </c>
      <c r="J393" s="1" t="s">
        <v>25</v>
      </c>
      <c r="L393" s="2">
        <v>1394.86</v>
      </c>
      <c r="M393" s="1" t="s">
        <v>1</v>
      </c>
    </row>
    <row r="394" spans="1:13" x14ac:dyDescent="0.2">
      <c r="A394" s="6" t="str">
        <f>VLOOKUP(J394,[1]Clientes!$C:$H,6,0)</f>
        <v>CBA</v>
      </c>
      <c r="B394" s="7">
        <f t="shared" si="8"/>
        <v>45218</v>
      </c>
      <c r="C394" s="1" t="s">
        <v>487</v>
      </c>
      <c r="D394" s="1" t="s">
        <v>183</v>
      </c>
      <c r="E394" s="1" t="s">
        <v>184</v>
      </c>
      <c r="F394" s="4">
        <v>45218.726388888892</v>
      </c>
      <c r="G394" s="4">
        <v>45218.726388888892</v>
      </c>
      <c r="H394" s="1" t="s">
        <v>21</v>
      </c>
      <c r="I394" s="1" t="s">
        <v>22</v>
      </c>
      <c r="J394" s="1" t="s">
        <v>69</v>
      </c>
      <c r="L394" s="2">
        <v>2460.2800000000002</v>
      </c>
      <c r="M394" s="1" t="s">
        <v>0</v>
      </c>
    </row>
    <row r="395" spans="1:13" x14ac:dyDescent="0.2">
      <c r="A395" s="6" t="s">
        <v>5</v>
      </c>
      <c r="B395" s="7">
        <f t="shared" si="8"/>
        <v>45218</v>
      </c>
      <c r="C395" s="1" t="s">
        <v>642</v>
      </c>
      <c r="D395" s="1" t="s">
        <v>643</v>
      </c>
      <c r="E395" s="1" t="s">
        <v>644</v>
      </c>
      <c r="F395" s="4">
        <v>45218.73333333333</v>
      </c>
      <c r="G395" s="4">
        <v>45218.73333333333</v>
      </c>
      <c r="H395" s="1" t="s">
        <v>21</v>
      </c>
      <c r="I395" s="1" t="s">
        <v>645</v>
      </c>
      <c r="J395" s="1" t="s">
        <v>330</v>
      </c>
      <c r="L395" s="2">
        <v>1849.4</v>
      </c>
      <c r="M395" s="1" t="s">
        <v>5</v>
      </c>
    </row>
    <row r="396" spans="1:13" x14ac:dyDescent="0.2">
      <c r="A396" s="6" t="str">
        <f>VLOOKUP(J396,[1]Clientes!$C:$H,6,0)</f>
        <v>UNIPAR</v>
      </c>
      <c r="B396" s="7">
        <f t="shared" si="8"/>
        <v>45218</v>
      </c>
      <c r="C396" s="1" t="s">
        <v>488</v>
      </c>
      <c r="D396" s="1" t="s">
        <v>183</v>
      </c>
      <c r="E396" s="1" t="s">
        <v>184</v>
      </c>
      <c r="F396" s="4">
        <v>45218.745833333334</v>
      </c>
      <c r="G396" s="4">
        <v>45218.745833333334</v>
      </c>
      <c r="H396" s="1" t="s">
        <v>21</v>
      </c>
      <c r="I396" s="1" t="s">
        <v>22</v>
      </c>
      <c r="J396" s="1" t="s">
        <v>63</v>
      </c>
      <c r="L396" s="2">
        <v>3425.27</v>
      </c>
      <c r="M396" s="1" t="s">
        <v>647</v>
      </c>
    </row>
    <row r="397" spans="1:13" x14ac:dyDescent="0.2">
      <c r="A397" s="6" t="str">
        <f>VLOOKUP(J397,[1]Clientes!$C:$H,6,0)</f>
        <v>IMERYS</v>
      </c>
      <c r="B397" s="7">
        <f t="shared" si="8"/>
        <v>45218</v>
      </c>
      <c r="C397" s="1" t="s">
        <v>489</v>
      </c>
      <c r="D397" s="1" t="s">
        <v>183</v>
      </c>
      <c r="E397" s="1" t="s">
        <v>184</v>
      </c>
      <c r="F397" s="4">
        <v>45218.785416666666</v>
      </c>
      <c r="G397" s="4">
        <v>45218.785416666666</v>
      </c>
      <c r="H397" s="1" t="s">
        <v>21</v>
      </c>
      <c r="I397" s="1" t="s">
        <v>22</v>
      </c>
      <c r="J397" s="1" t="s">
        <v>188</v>
      </c>
      <c r="L397" s="2">
        <v>1185.56</v>
      </c>
      <c r="M397" s="1" t="s">
        <v>6</v>
      </c>
    </row>
    <row r="398" spans="1:13" x14ac:dyDescent="0.2">
      <c r="A398" s="6" t="str">
        <f>VLOOKUP(J398,[1]Clientes!$C:$H,6,0)</f>
        <v>CBA</v>
      </c>
      <c r="B398" s="7">
        <f t="shared" si="8"/>
        <v>45218</v>
      </c>
      <c r="C398" s="1" t="s">
        <v>490</v>
      </c>
      <c r="D398" s="1" t="s">
        <v>183</v>
      </c>
      <c r="E398" s="1" t="s">
        <v>184</v>
      </c>
      <c r="F398" s="4">
        <v>45218.806944444441</v>
      </c>
      <c r="G398" s="4">
        <v>45218.806944444441</v>
      </c>
      <c r="H398" s="1" t="s">
        <v>21</v>
      </c>
      <c r="I398" s="1" t="s">
        <v>22</v>
      </c>
      <c r="J398" s="1" t="s">
        <v>69</v>
      </c>
      <c r="L398" s="2">
        <v>3016.63</v>
      </c>
      <c r="M398" s="1" t="s">
        <v>0</v>
      </c>
    </row>
    <row r="399" spans="1:13" x14ac:dyDescent="0.2">
      <c r="A399" s="6" t="str">
        <f>VLOOKUP(J399,[1]Clientes!$C:$H,6,0)</f>
        <v>CBA</v>
      </c>
      <c r="B399" s="7">
        <f t="shared" si="8"/>
        <v>45218</v>
      </c>
      <c r="C399" s="1" t="s">
        <v>491</v>
      </c>
      <c r="D399" s="1" t="s">
        <v>183</v>
      </c>
      <c r="E399" s="1" t="s">
        <v>184</v>
      </c>
      <c r="F399" s="4">
        <v>45218.836805555555</v>
      </c>
      <c r="G399" s="4">
        <v>45218.836805555555</v>
      </c>
      <c r="H399" s="1" t="s">
        <v>21</v>
      </c>
      <c r="I399" s="1" t="s">
        <v>22</v>
      </c>
      <c r="J399" s="1" t="s">
        <v>69</v>
      </c>
      <c r="L399" s="2">
        <v>2707.68</v>
      </c>
      <c r="M399" s="1" t="s">
        <v>0</v>
      </c>
    </row>
    <row r="400" spans="1:13" x14ac:dyDescent="0.2">
      <c r="A400" s="6" t="s">
        <v>1</v>
      </c>
      <c r="B400" s="7">
        <f t="shared" si="8"/>
        <v>45218</v>
      </c>
      <c r="C400" s="1" t="s">
        <v>131</v>
      </c>
      <c r="D400" s="1" t="s">
        <v>19</v>
      </c>
      <c r="E400" s="1" t="s">
        <v>20</v>
      </c>
      <c r="F400" s="4">
        <v>45218.845833333333</v>
      </c>
      <c r="G400" s="4">
        <v>45218.845833333333</v>
      </c>
      <c r="H400" s="1" t="s">
        <v>21</v>
      </c>
      <c r="I400" s="1" t="s">
        <v>22</v>
      </c>
      <c r="J400" s="1" t="s">
        <v>25</v>
      </c>
      <c r="L400" s="2">
        <v>1878.39</v>
      </c>
      <c r="M400" s="1" t="s">
        <v>1</v>
      </c>
    </row>
    <row r="401" spans="1:13" x14ac:dyDescent="0.2">
      <c r="A401" s="6" t="str">
        <f>VLOOKUP(J401,[1]Clientes!$C:$H,6,0)</f>
        <v>CBA</v>
      </c>
      <c r="B401" s="7">
        <f t="shared" si="8"/>
        <v>45218</v>
      </c>
      <c r="C401" s="1" t="s">
        <v>492</v>
      </c>
      <c r="D401" s="1" t="s">
        <v>183</v>
      </c>
      <c r="E401" s="1" t="s">
        <v>184</v>
      </c>
      <c r="F401" s="4">
        <v>45218.883333333331</v>
      </c>
      <c r="G401" s="4">
        <v>45218.883333333331</v>
      </c>
      <c r="H401" s="1" t="s">
        <v>21</v>
      </c>
      <c r="I401" s="1" t="s">
        <v>22</v>
      </c>
      <c r="J401" s="1" t="s">
        <v>69</v>
      </c>
      <c r="L401" s="2">
        <v>2711</v>
      </c>
      <c r="M401" s="1" t="s">
        <v>0</v>
      </c>
    </row>
    <row r="402" spans="1:13" x14ac:dyDescent="0.2">
      <c r="A402" s="6" t="str">
        <f>VLOOKUP(J402,[1]Clientes!$C:$H,6,0)</f>
        <v>CBA</v>
      </c>
      <c r="B402" s="7">
        <f t="shared" si="8"/>
        <v>45218</v>
      </c>
      <c r="C402" s="1" t="s">
        <v>493</v>
      </c>
      <c r="D402" s="1" t="s">
        <v>183</v>
      </c>
      <c r="E402" s="1" t="s">
        <v>184</v>
      </c>
      <c r="F402" s="4">
        <v>45218.887499999997</v>
      </c>
      <c r="G402" s="4">
        <v>45218.887499999997</v>
      </c>
      <c r="H402" s="1" t="s">
        <v>21</v>
      </c>
      <c r="I402" s="1" t="s">
        <v>22</v>
      </c>
      <c r="J402" s="1" t="s">
        <v>69</v>
      </c>
      <c r="L402" s="2">
        <v>5505.24</v>
      </c>
      <c r="M402" s="1" t="s">
        <v>0</v>
      </c>
    </row>
    <row r="403" spans="1:13" x14ac:dyDescent="0.2">
      <c r="A403" s="6" t="str">
        <f>VLOOKUP(J403,[1]Clientes!$C:$H,6,0)</f>
        <v>CBA</v>
      </c>
      <c r="B403" s="7">
        <f t="shared" si="8"/>
        <v>45218</v>
      </c>
      <c r="C403" s="1" t="s">
        <v>494</v>
      </c>
      <c r="D403" s="1" t="s">
        <v>183</v>
      </c>
      <c r="E403" s="1" t="s">
        <v>184</v>
      </c>
      <c r="F403" s="4">
        <v>45218.996527777781</v>
      </c>
      <c r="G403" s="4">
        <v>45218.996527777781</v>
      </c>
      <c r="H403" s="1" t="s">
        <v>21</v>
      </c>
      <c r="I403" s="1" t="s">
        <v>22</v>
      </c>
      <c r="J403" s="1" t="s">
        <v>69</v>
      </c>
      <c r="L403" s="2">
        <v>5484.5</v>
      </c>
      <c r="M403" s="1" t="s">
        <v>0</v>
      </c>
    </row>
    <row r="404" spans="1:13" x14ac:dyDescent="0.2">
      <c r="A404" s="6" t="str">
        <f>VLOOKUP(J404,[1]Clientes!$C:$H,6,0)</f>
        <v>UNIPAR</v>
      </c>
      <c r="B404" s="7">
        <f t="shared" si="8"/>
        <v>45219</v>
      </c>
      <c r="C404" s="1" t="s">
        <v>495</v>
      </c>
      <c r="D404" s="1" t="s">
        <v>183</v>
      </c>
      <c r="E404" s="1" t="s">
        <v>184</v>
      </c>
      <c r="F404" s="4">
        <v>45219.30972222222</v>
      </c>
      <c r="G404" s="4">
        <v>45219.30972222222</v>
      </c>
      <c r="H404" s="1" t="s">
        <v>21</v>
      </c>
      <c r="I404" s="1" t="s">
        <v>22</v>
      </c>
      <c r="J404" s="1" t="s">
        <v>63</v>
      </c>
      <c r="L404" s="2">
        <v>8219.0300000000007</v>
      </c>
      <c r="M404" s="1" t="s">
        <v>647</v>
      </c>
    </row>
    <row r="405" spans="1:13" x14ac:dyDescent="0.2">
      <c r="A405" s="6" t="str">
        <f>VLOOKUP(J405,[1]Clientes!$C:$H,6,0)</f>
        <v>UNIPAR</v>
      </c>
      <c r="B405" s="7">
        <f t="shared" si="8"/>
        <v>45219</v>
      </c>
      <c r="C405" s="1" t="s">
        <v>496</v>
      </c>
      <c r="D405" s="1" t="s">
        <v>183</v>
      </c>
      <c r="E405" s="1" t="s">
        <v>184</v>
      </c>
      <c r="F405" s="4">
        <v>45219.325694444444</v>
      </c>
      <c r="G405" s="4">
        <v>45219.325694444444</v>
      </c>
      <c r="H405" s="1" t="s">
        <v>21</v>
      </c>
      <c r="I405" s="1" t="s">
        <v>22</v>
      </c>
      <c r="J405" s="1" t="s">
        <v>63</v>
      </c>
      <c r="L405" s="2">
        <v>4041.33</v>
      </c>
      <c r="M405" s="1" t="s">
        <v>647</v>
      </c>
    </row>
    <row r="406" spans="1:13" x14ac:dyDescent="0.2">
      <c r="A406" s="6" t="s">
        <v>1</v>
      </c>
      <c r="B406" s="7">
        <f t="shared" si="8"/>
        <v>45219</v>
      </c>
      <c r="C406" s="1" t="s">
        <v>132</v>
      </c>
      <c r="D406" s="1" t="s">
        <v>19</v>
      </c>
      <c r="E406" s="1" t="s">
        <v>20</v>
      </c>
      <c r="F406" s="4">
        <v>45219.442361111112</v>
      </c>
      <c r="G406" s="4">
        <v>45219.442361111112</v>
      </c>
      <c r="H406" s="1" t="s">
        <v>21</v>
      </c>
      <c r="I406" s="1" t="s">
        <v>22</v>
      </c>
      <c r="J406" s="1" t="s">
        <v>25</v>
      </c>
      <c r="L406" s="2">
        <v>2230.0300000000002</v>
      </c>
      <c r="M406" s="1" t="s">
        <v>1</v>
      </c>
    </row>
    <row r="407" spans="1:13" x14ac:dyDescent="0.2">
      <c r="A407" s="6" t="str">
        <f>VLOOKUP(J407,[1]Clientes!$C:$H,6,0)</f>
        <v>LANXESS</v>
      </c>
      <c r="B407" s="7">
        <f t="shared" si="8"/>
        <v>45219</v>
      </c>
      <c r="C407" s="1" t="s">
        <v>497</v>
      </c>
      <c r="D407" s="1" t="s">
        <v>183</v>
      </c>
      <c r="E407" s="1" t="s">
        <v>184</v>
      </c>
      <c r="F407" s="4">
        <v>45219.455555555556</v>
      </c>
      <c r="G407" s="4">
        <v>45219.455555555556</v>
      </c>
      <c r="H407" s="1" t="s">
        <v>21</v>
      </c>
      <c r="I407" s="1" t="s">
        <v>22</v>
      </c>
      <c r="J407" s="1" t="s">
        <v>221</v>
      </c>
      <c r="L407" s="2">
        <v>838.35</v>
      </c>
      <c r="M407" s="1" t="s">
        <v>648</v>
      </c>
    </row>
    <row r="408" spans="1:13" x14ac:dyDescent="0.2">
      <c r="A408" s="6" t="s">
        <v>1</v>
      </c>
      <c r="B408" s="7">
        <f t="shared" si="8"/>
        <v>45219</v>
      </c>
      <c r="C408" s="1" t="s">
        <v>133</v>
      </c>
      <c r="D408" s="1" t="s">
        <v>19</v>
      </c>
      <c r="E408" s="1" t="s">
        <v>20</v>
      </c>
      <c r="F408" s="4">
        <v>45219.476388888892</v>
      </c>
      <c r="G408" s="4">
        <v>45219.476388888892</v>
      </c>
      <c r="H408" s="1" t="s">
        <v>21</v>
      </c>
      <c r="I408" s="1" t="s">
        <v>22</v>
      </c>
      <c r="J408" s="1" t="s">
        <v>25</v>
      </c>
      <c r="L408" s="2">
        <v>1394.86</v>
      </c>
      <c r="M408" s="1" t="s">
        <v>1</v>
      </c>
    </row>
    <row r="409" spans="1:13" x14ac:dyDescent="0.2">
      <c r="A409" s="6" t="str">
        <f>VLOOKUP(J409,[1]Clientes!$C:$H,6,0)</f>
        <v>LANXESS</v>
      </c>
      <c r="B409" s="7">
        <f t="shared" si="8"/>
        <v>45219</v>
      </c>
      <c r="C409" s="1" t="s">
        <v>498</v>
      </c>
      <c r="D409" s="1" t="s">
        <v>183</v>
      </c>
      <c r="E409" s="1" t="s">
        <v>184</v>
      </c>
      <c r="F409" s="4">
        <v>45219.495138888888</v>
      </c>
      <c r="G409" s="4">
        <v>45219.495138888888</v>
      </c>
      <c r="H409" s="1" t="s">
        <v>21</v>
      </c>
      <c r="I409" s="1" t="s">
        <v>22</v>
      </c>
      <c r="J409" s="1" t="s">
        <v>200</v>
      </c>
      <c r="L409" s="2">
        <v>1153.99</v>
      </c>
      <c r="M409" s="1" t="s">
        <v>648</v>
      </c>
    </row>
    <row r="410" spans="1:13" x14ac:dyDescent="0.2">
      <c r="A410" s="6" t="s">
        <v>1</v>
      </c>
      <c r="B410" s="7">
        <f t="shared" si="8"/>
        <v>45219</v>
      </c>
      <c r="C410" s="1" t="s">
        <v>134</v>
      </c>
      <c r="D410" s="1" t="s">
        <v>19</v>
      </c>
      <c r="E410" s="1" t="s">
        <v>20</v>
      </c>
      <c r="F410" s="4">
        <v>45219.509722222225</v>
      </c>
      <c r="G410" s="4">
        <v>45219.509722222225</v>
      </c>
      <c r="H410" s="1" t="s">
        <v>21</v>
      </c>
      <c r="I410" s="1" t="s">
        <v>22</v>
      </c>
      <c r="J410" s="1" t="s">
        <v>25</v>
      </c>
      <c r="L410" s="2">
        <v>1394.86</v>
      </c>
      <c r="M410" s="1" t="s">
        <v>1</v>
      </c>
    </row>
    <row r="411" spans="1:13" x14ac:dyDescent="0.2">
      <c r="A411" s="6" t="str">
        <f>VLOOKUP(J411,[1]Clientes!$C:$H,6,0)</f>
        <v>CBA</v>
      </c>
      <c r="B411" s="7">
        <f t="shared" si="8"/>
        <v>45219</v>
      </c>
      <c r="C411" s="1" t="s">
        <v>499</v>
      </c>
      <c r="D411" s="1" t="s">
        <v>183</v>
      </c>
      <c r="E411" s="1" t="s">
        <v>184</v>
      </c>
      <c r="F411" s="4">
        <v>45219.511805555558</v>
      </c>
      <c r="G411" s="4">
        <v>45219.511805555558</v>
      </c>
      <c r="H411" s="1" t="s">
        <v>21</v>
      </c>
      <c r="I411" s="1" t="s">
        <v>22</v>
      </c>
      <c r="J411" s="1" t="s">
        <v>186</v>
      </c>
      <c r="L411" s="2">
        <v>1733.75</v>
      </c>
      <c r="M411" s="1" t="s">
        <v>0</v>
      </c>
    </row>
    <row r="412" spans="1:13" x14ac:dyDescent="0.2">
      <c r="A412" s="6" t="str">
        <f>VLOOKUP(J412,[1]Clientes!$C:$H,6,0)</f>
        <v>CBA</v>
      </c>
      <c r="B412" s="7">
        <f t="shared" si="8"/>
        <v>45219</v>
      </c>
      <c r="C412" s="1" t="s">
        <v>500</v>
      </c>
      <c r="D412" s="1" t="s">
        <v>183</v>
      </c>
      <c r="E412" s="1" t="s">
        <v>184</v>
      </c>
      <c r="F412" s="4">
        <v>45219.564583333333</v>
      </c>
      <c r="G412" s="4">
        <v>45219.564583333333</v>
      </c>
      <c r="H412" s="1" t="s">
        <v>21</v>
      </c>
      <c r="I412" s="1" t="s">
        <v>22</v>
      </c>
      <c r="J412" s="1" t="s">
        <v>69</v>
      </c>
      <c r="L412" s="2">
        <v>3394.69</v>
      </c>
      <c r="M412" s="1" t="s">
        <v>0</v>
      </c>
    </row>
    <row r="413" spans="1:13" x14ac:dyDescent="0.2">
      <c r="A413" s="6" t="str">
        <f>VLOOKUP(J413,[1]Clientes!$C:$H,6,0)</f>
        <v>CBA</v>
      </c>
      <c r="B413" s="7">
        <f t="shared" si="8"/>
        <v>45219</v>
      </c>
      <c r="C413" s="1" t="s">
        <v>501</v>
      </c>
      <c r="D413" s="1" t="s">
        <v>183</v>
      </c>
      <c r="E413" s="1" t="s">
        <v>184</v>
      </c>
      <c r="F413" s="4">
        <v>45219.566666666666</v>
      </c>
      <c r="G413" s="4">
        <v>45219.566666666666</v>
      </c>
      <c r="H413" s="1" t="s">
        <v>21</v>
      </c>
      <c r="I413" s="1" t="s">
        <v>22</v>
      </c>
      <c r="J413" s="1" t="s">
        <v>69</v>
      </c>
      <c r="L413" s="2">
        <v>3394.69</v>
      </c>
      <c r="M413" s="1" t="s">
        <v>0</v>
      </c>
    </row>
    <row r="414" spans="1:13" x14ac:dyDescent="0.2">
      <c r="A414" s="6" t="str">
        <f>VLOOKUP(J414,[1]Clientes!$C:$H,6,0)</f>
        <v>CBA</v>
      </c>
      <c r="B414" s="7">
        <f t="shared" si="8"/>
        <v>45219</v>
      </c>
      <c r="C414" s="1" t="s">
        <v>502</v>
      </c>
      <c r="D414" s="1" t="s">
        <v>183</v>
      </c>
      <c r="E414" s="1" t="s">
        <v>184</v>
      </c>
      <c r="F414" s="4">
        <v>45219.568055555559</v>
      </c>
      <c r="G414" s="4">
        <v>45219.568055555559</v>
      </c>
      <c r="H414" s="1" t="s">
        <v>21</v>
      </c>
      <c r="I414" s="1" t="s">
        <v>22</v>
      </c>
      <c r="J414" s="1" t="s">
        <v>69</v>
      </c>
      <c r="L414" s="2">
        <v>3394.69</v>
      </c>
      <c r="M414" s="1" t="s">
        <v>0</v>
      </c>
    </row>
    <row r="415" spans="1:13" x14ac:dyDescent="0.2">
      <c r="A415" s="6" t="str">
        <f>VLOOKUP(J415,[1]Clientes!$C:$H,6,0)</f>
        <v>CBA</v>
      </c>
      <c r="B415" s="7">
        <f t="shared" si="8"/>
        <v>45219</v>
      </c>
      <c r="C415" s="1" t="s">
        <v>503</v>
      </c>
      <c r="D415" s="1" t="s">
        <v>183</v>
      </c>
      <c r="E415" s="1" t="s">
        <v>184</v>
      </c>
      <c r="F415" s="4">
        <v>45219.570138888892</v>
      </c>
      <c r="G415" s="4">
        <v>45219.570138888892</v>
      </c>
      <c r="H415" s="1" t="s">
        <v>21</v>
      </c>
      <c r="I415" s="1" t="s">
        <v>22</v>
      </c>
      <c r="J415" s="1" t="s">
        <v>69</v>
      </c>
      <c r="L415" s="2">
        <v>3394.69</v>
      </c>
      <c r="M415" s="1" t="s">
        <v>0</v>
      </c>
    </row>
    <row r="416" spans="1:13" x14ac:dyDescent="0.2">
      <c r="A416" s="6" t="s">
        <v>1</v>
      </c>
      <c r="B416" s="7">
        <f t="shared" si="8"/>
        <v>45219</v>
      </c>
      <c r="C416" s="1" t="s">
        <v>135</v>
      </c>
      <c r="D416" s="1" t="s">
        <v>19</v>
      </c>
      <c r="E416" s="1" t="s">
        <v>20</v>
      </c>
      <c r="F416" s="4">
        <v>45219.606249999997</v>
      </c>
      <c r="G416" s="4">
        <v>45219.606249999997</v>
      </c>
      <c r="H416" s="1" t="s">
        <v>21</v>
      </c>
      <c r="I416" s="1" t="s">
        <v>22</v>
      </c>
      <c r="J416" s="1" t="s">
        <v>25</v>
      </c>
      <c r="L416" s="2">
        <v>2341.11</v>
      </c>
      <c r="M416" s="1" t="s">
        <v>1</v>
      </c>
    </row>
    <row r="417" spans="1:13" x14ac:dyDescent="0.2">
      <c r="A417" s="6" t="s">
        <v>1</v>
      </c>
      <c r="B417" s="7">
        <f t="shared" si="8"/>
        <v>45219</v>
      </c>
      <c r="C417" s="1" t="s">
        <v>136</v>
      </c>
      <c r="D417" s="1" t="s">
        <v>19</v>
      </c>
      <c r="E417" s="1" t="s">
        <v>20</v>
      </c>
      <c r="F417" s="4">
        <v>45219.607638888891</v>
      </c>
      <c r="G417" s="4">
        <v>45219.607638888891</v>
      </c>
      <c r="H417" s="1" t="s">
        <v>21</v>
      </c>
      <c r="I417" s="1" t="s">
        <v>22</v>
      </c>
      <c r="J417" s="1" t="s">
        <v>25</v>
      </c>
      <c r="L417" s="2">
        <v>2294.5700000000002</v>
      </c>
      <c r="M417" s="1" t="s">
        <v>1</v>
      </c>
    </row>
    <row r="418" spans="1:13" x14ac:dyDescent="0.2">
      <c r="A418" s="6" t="s">
        <v>1</v>
      </c>
      <c r="B418" s="7">
        <f t="shared" si="8"/>
        <v>45219</v>
      </c>
      <c r="C418" s="1" t="s">
        <v>137</v>
      </c>
      <c r="D418" s="1" t="s">
        <v>19</v>
      </c>
      <c r="E418" s="1" t="s">
        <v>20</v>
      </c>
      <c r="F418" s="4">
        <v>45219.613194444442</v>
      </c>
      <c r="G418" s="4">
        <v>45219.613194444442</v>
      </c>
      <c r="H418" s="1" t="s">
        <v>21</v>
      </c>
      <c r="I418" s="1" t="s">
        <v>22</v>
      </c>
      <c r="J418" s="1" t="s">
        <v>25</v>
      </c>
      <c r="L418" s="2">
        <v>748.07</v>
      </c>
      <c r="M418" s="1" t="s">
        <v>1</v>
      </c>
    </row>
    <row r="419" spans="1:13" x14ac:dyDescent="0.2">
      <c r="A419" s="6" t="s">
        <v>1</v>
      </c>
      <c r="B419" s="7">
        <f t="shared" si="8"/>
        <v>45219</v>
      </c>
      <c r="C419" s="1" t="s">
        <v>138</v>
      </c>
      <c r="D419" s="1" t="s">
        <v>19</v>
      </c>
      <c r="E419" s="1" t="s">
        <v>20</v>
      </c>
      <c r="F419" s="4">
        <v>45219.616666666669</v>
      </c>
      <c r="G419" s="4">
        <v>45219.616666666669</v>
      </c>
      <c r="H419" s="1" t="s">
        <v>21</v>
      </c>
      <c r="I419" s="1" t="s">
        <v>22</v>
      </c>
      <c r="J419" s="1" t="s">
        <v>25</v>
      </c>
      <c r="L419" s="2">
        <v>2294.5700000000002</v>
      </c>
      <c r="M419" s="1" t="s">
        <v>1</v>
      </c>
    </row>
    <row r="420" spans="1:13" x14ac:dyDescent="0.2">
      <c r="A420" s="6" t="str">
        <f>VLOOKUP(J420,[1]Clientes!$C:$H,6,0)</f>
        <v>CBA</v>
      </c>
      <c r="B420" s="7">
        <f t="shared" ref="B420:B438" si="9">QUOTIENT(F420,1)</f>
        <v>45219</v>
      </c>
      <c r="C420" s="1" t="s">
        <v>504</v>
      </c>
      <c r="D420" s="1" t="s">
        <v>183</v>
      </c>
      <c r="E420" s="1" t="s">
        <v>184</v>
      </c>
      <c r="F420" s="4">
        <v>45219.63958333333</v>
      </c>
      <c r="G420" s="4">
        <v>45219.63958333333</v>
      </c>
      <c r="H420" s="1" t="s">
        <v>21</v>
      </c>
      <c r="I420" s="1" t="s">
        <v>22</v>
      </c>
      <c r="J420" s="1" t="s">
        <v>69</v>
      </c>
      <c r="L420" s="2">
        <v>2499.61</v>
      </c>
      <c r="M420" s="1" t="s">
        <v>0</v>
      </c>
    </row>
    <row r="421" spans="1:13" x14ac:dyDescent="0.2">
      <c r="A421" s="6" t="str">
        <f>VLOOKUP(J421,[1]Clientes!$C:$H,6,0)</f>
        <v>CBA</v>
      </c>
      <c r="B421" s="7">
        <f t="shared" si="9"/>
        <v>45219</v>
      </c>
      <c r="C421" s="1" t="s">
        <v>505</v>
      </c>
      <c r="D421" s="1" t="s">
        <v>183</v>
      </c>
      <c r="E421" s="1" t="s">
        <v>184</v>
      </c>
      <c r="F421" s="4">
        <v>45219.642361111109</v>
      </c>
      <c r="G421" s="4">
        <v>45219.642361111109</v>
      </c>
      <c r="H421" s="1" t="s">
        <v>21</v>
      </c>
      <c r="I421" s="1" t="s">
        <v>22</v>
      </c>
      <c r="J421" s="1" t="s">
        <v>69</v>
      </c>
      <c r="L421" s="2">
        <v>3146.14</v>
      </c>
      <c r="M421" s="1" t="s">
        <v>0</v>
      </c>
    </row>
    <row r="422" spans="1:13" x14ac:dyDescent="0.2">
      <c r="A422" s="6" t="str">
        <f>VLOOKUP(J422,[1]Clientes!$C:$H,6,0)</f>
        <v>CBA</v>
      </c>
      <c r="B422" s="7">
        <f t="shared" si="9"/>
        <v>45219</v>
      </c>
      <c r="C422" s="1" t="s">
        <v>506</v>
      </c>
      <c r="D422" s="1" t="s">
        <v>183</v>
      </c>
      <c r="E422" s="1" t="s">
        <v>184</v>
      </c>
      <c r="F422" s="4">
        <v>45219.668749999997</v>
      </c>
      <c r="G422" s="4">
        <v>45219.668749999997</v>
      </c>
      <c r="H422" s="1" t="s">
        <v>21</v>
      </c>
      <c r="I422" s="1" t="s">
        <v>22</v>
      </c>
      <c r="J422" s="1" t="s">
        <v>69</v>
      </c>
      <c r="L422" s="2">
        <v>2469.9899999999998</v>
      </c>
      <c r="M422" s="1" t="s">
        <v>0</v>
      </c>
    </row>
    <row r="423" spans="1:13" x14ac:dyDescent="0.2">
      <c r="A423" s="6" t="str">
        <f>VLOOKUP(J423,[1]Clientes!$C:$H,6,0)</f>
        <v>CBA</v>
      </c>
      <c r="B423" s="7">
        <f t="shared" si="9"/>
        <v>45219</v>
      </c>
      <c r="C423" s="1" t="s">
        <v>507</v>
      </c>
      <c r="D423" s="1" t="s">
        <v>183</v>
      </c>
      <c r="E423" s="1" t="s">
        <v>184</v>
      </c>
      <c r="F423" s="4">
        <v>45219.695833333331</v>
      </c>
      <c r="G423" s="4">
        <v>45219.695833333331</v>
      </c>
      <c r="H423" s="1" t="s">
        <v>21</v>
      </c>
      <c r="I423" s="1" t="s">
        <v>22</v>
      </c>
      <c r="J423" s="1" t="s">
        <v>69</v>
      </c>
      <c r="L423" s="2">
        <v>1464.2</v>
      </c>
      <c r="M423" s="1" t="s">
        <v>0</v>
      </c>
    </row>
    <row r="424" spans="1:13" x14ac:dyDescent="0.2">
      <c r="A424" s="6" t="str">
        <f>VLOOKUP(J424,[1]Clientes!$C:$H,6,0)</f>
        <v>CBA</v>
      </c>
      <c r="B424" s="7">
        <f t="shared" si="9"/>
        <v>45219</v>
      </c>
      <c r="C424" s="1" t="s">
        <v>508</v>
      </c>
      <c r="D424" s="1" t="s">
        <v>183</v>
      </c>
      <c r="E424" s="1" t="s">
        <v>184</v>
      </c>
      <c r="F424" s="4">
        <v>45219.7</v>
      </c>
      <c r="G424" s="4">
        <v>45219.7</v>
      </c>
      <c r="H424" s="1" t="s">
        <v>21</v>
      </c>
      <c r="I424" s="1" t="s">
        <v>22</v>
      </c>
      <c r="J424" s="1" t="s">
        <v>69</v>
      </c>
      <c r="L424" s="2">
        <v>1458.53</v>
      </c>
      <c r="M424" s="1" t="s">
        <v>0</v>
      </c>
    </row>
    <row r="425" spans="1:13" x14ac:dyDescent="0.2">
      <c r="A425" s="6" t="str">
        <f>VLOOKUP(J425,[1]Clientes!$C:$H,6,0)</f>
        <v>UNIPAR</v>
      </c>
      <c r="B425" s="7">
        <f t="shared" si="9"/>
        <v>45219</v>
      </c>
      <c r="C425" s="1" t="s">
        <v>509</v>
      </c>
      <c r="D425" s="1" t="s">
        <v>183</v>
      </c>
      <c r="E425" s="1" t="s">
        <v>184</v>
      </c>
      <c r="F425" s="4">
        <v>45219.943749999999</v>
      </c>
      <c r="G425" s="4">
        <v>45219.943749999999</v>
      </c>
      <c r="H425" s="1" t="s">
        <v>21</v>
      </c>
      <c r="I425" s="1" t="s">
        <v>22</v>
      </c>
      <c r="J425" s="1" t="s">
        <v>63</v>
      </c>
      <c r="L425" s="2">
        <v>3425.27</v>
      </c>
      <c r="M425" s="1" t="s">
        <v>647</v>
      </c>
    </row>
    <row r="426" spans="1:13" x14ac:dyDescent="0.2">
      <c r="A426" s="6" t="str">
        <f>VLOOKUP(J426,[1]Clientes!$C:$H,6,0)</f>
        <v>UNIPAR</v>
      </c>
      <c r="B426" s="7">
        <f t="shared" si="9"/>
        <v>45220</v>
      </c>
      <c r="C426" s="1" t="s">
        <v>139</v>
      </c>
      <c r="D426" s="1" t="s">
        <v>19</v>
      </c>
      <c r="E426" s="1" t="s">
        <v>20</v>
      </c>
      <c r="F426" s="4">
        <v>45220.006249999999</v>
      </c>
      <c r="G426" s="4">
        <v>45220.006249999999</v>
      </c>
      <c r="H426" s="1" t="s">
        <v>21</v>
      </c>
      <c r="I426" s="1" t="s">
        <v>22</v>
      </c>
      <c r="J426" s="1" t="s">
        <v>63</v>
      </c>
      <c r="L426" s="2">
        <v>5996.51</v>
      </c>
      <c r="M426" s="1" t="s">
        <v>647</v>
      </c>
    </row>
    <row r="427" spans="1:13" x14ac:dyDescent="0.2">
      <c r="A427" s="6" t="str">
        <f>VLOOKUP(J427,[1]Clientes!$C:$H,6,0)</f>
        <v>CBA</v>
      </c>
      <c r="B427" s="7">
        <f t="shared" si="9"/>
        <v>45220</v>
      </c>
      <c r="C427" s="1" t="s">
        <v>510</v>
      </c>
      <c r="D427" s="1" t="s">
        <v>183</v>
      </c>
      <c r="E427" s="1" t="s">
        <v>184</v>
      </c>
      <c r="F427" s="4">
        <v>45220.397916666669</v>
      </c>
      <c r="G427" s="4">
        <v>45220.397916666669</v>
      </c>
      <c r="H427" s="1" t="s">
        <v>21</v>
      </c>
      <c r="I427" s="1" t="s">
        <v>22</v>
      </c>
      <c r="J427" s="1" t="s">
        <v>69</v>
      </c>
      <c r="L427" s="2">
        <v>7931.64</v>
      </c>
      <c r="M427" s="1" t="s">
        <v>0</v>
      </c>
    </row>
    <row r="428" spans="1:13" x14ac:dyDescent="0.2">
      <c r="A428" s="6" t="str">
        <f>VLOOKUP(J428,[1]Clientes!$C:$H,6,0)</f>
        <v>CBA</v>
      </c>
      <c r="B428" s="7">
        <f t="shared" si="9"/>
        <v>45220</v>
      </c>
      <c r="C428" s="1" t="s">
        <v>511</v>
      </c>
      <c r="D428" s="1" t="s">
        <v>183</v>
      </c>
      <c r="E428" s="1" t="s">
        <v>184</v>
      </c>
      <c r="F428" s="4">
        <v>45220.406944444447</v>
      </c>
      <c r="G428" s="4">
        <v>45220.406944444447</v>
      </c>
      <c r="H428" s="1" t="s">
        <v>21</v>
      </c>
      <c r="I428" s="1" t="s">
        <v>22</v>
      </c>
      <c r="J428" s="1" t="s">
        <v>381</v>
      </c>
      <c r="L428" s="2">
        <v>4338.83</v>
      </c>
      <c r="M428" s="1" t="s">
        <v>0</v>
      </c>
    </row>
    <row r="429" spans="1:13" x14ac:dyDescent="0.2">
      <c r="A429" s="6" t="str">
        <f>VLOOKUP(J429,[1]Clientes!$C:$H,6,0)</f>
        <v>AMBEV</v>
      </c>
      <c r="B429" s="7">
        <f t="shared" si="9"/>
        <v>45220</v>
      </c>
      <c r="C429" s="1" t="s">
        <v>512</v>
      </c>
      <c r="D429" s="1" t="s">
        <v>183</v>
      </c>
      <c r="E429" s="1" t="s">
        <v>184</v>
      </c>
      <c r="F429" s="4">
        <v>45220.449305555558</v>
      </c>
      <c r="G429" s="4">
        <v>45220.449305555558</v>
      </c>
      <c r="H429" s="1" t="s">
        <v>21</v>
      </c>
      <c r="I429" s="1" t="s">
        <v>22</v>
      </c>
      <c r="J429" s="1" t="s">
        <v>513</v>
      </c>
      <c r="L429" s="2">
        <v>4829.75</v>
      </c>
      <c r="M429" s="1" t="s">
        <v>3</v>
      </c>
    </row>
    <row r="430" spans="1:13" x14ac:dyDescent="0.2">
      <c r="A430" s="6" t="str">
        <f>VLOOKUP(J430,[1]Clientes!$C:$H,6,0)</f>
        <v>AMBEV</v>
      </c>
      <c r="B430" s="7">
        <f t="shared" si="9"/>
        <v>45220</v>
      </c>
      <c r="C430" s="1" t="s">
        <v>514</v>
      </c>
      <c r="D430" s="1" t="s">
        <v>183</v>
      </c>
      <c r="E430" s="1" t="s">
        <v>184</v>
      </c>
      <c r="F430" s="4">
        <v>45220.502083333333</v>
      </c>
      <c r="G430" s="4">
        <v>45220.502083333333</v>
      </c>
      <c r="H430" s="1" t="s">
        <v>21</v>
      </c>
      <c r="I430" s="1" t="s">
        <v>22</v>
      </c>
      <c r="J430" s="1" t="s">
        <v>515</v>
      </c>
      <c r="L430" s="2">
        <v>16256.41</v>
      </c>
      <c r="M430" s="1" t="s">
        <v>3</v>
      </c>
    </row>
    <row r="431" spans="1:13" x14ac:dyDescent="0.2">
      <c r="A431" s="6" t="str">
        <f>VLOOKUP(J431,[1]Clientes!$C:$H,6,0)</f>
        <v>CBA</v>
      </c>
      <c r="B431" s="7">
        <f t="shared" si="9"/>
        <v>45220</v>
      </c>
      <c r="C431" s="1" t="s">
        <v>516</v>
      </c>
      <c r="D431" s="1" t="s">
        <v>183</v>
      </c>
      <c r="E431" s="1" t="s">
        <v>184</v>
      </c>
      <c r="F431" s="4">
        <v>45220.538194444445</v>
      </c>
      <c r="G431" s="4">
        <v>45220.538194444445</v>
      </c>
      <c r="H431" s="1" t="s">
        <v>21</v>
      </c>
      <c r="I431" s="1" t="s">
        <v>22</v>
      </c>
      <c r="J431" s="1" t="s">
        <v>69</v>
      </c>
      <c r="L431" s="2">
        <v>1392.49</v>
      </c>
      <c r="M431" s="1" t="s">
        <v>0</v>
      </c>
    </row>
    <row r="432" spans="1:13" x14ac:dyDescent="0.2">
      <c r="A432" s="6" t="str">
        <f>VLOOKUP(J432,[1]Clientes!$C:$H,6,0)</f>
        <v>CBA</v>
      </c>
      <c r="B432" s="7">
        <f t="shared" si="9"/>
        <v>45220</v>
      </c>
      <c r="C432" s="1" t="s">
        <v>517</v>
      </c>
      <c r="D432" s="1" t="s">
        <v>183</v>
      </c>
      <c r="E432" s="1" t="s">
        <v>184</v>
      </c>
      <c r="F432" s="4">
        <v>45220.563888888886</v>
      </c>
      <c r="G432" s="4">
        <v>45220.563888888886</v>
      </c>
      <c r="H432" s="1" t="s">
        <v>21</v>
      </c>
      <c r="I432" s="1" t="s">
        <v>22</v>
      </c>
      <c r="J432" s="1" t="s">
        <v>69</v>
      </c>
      <c r="L432" s="2">
        <v>1390.69</v>
      </c>
      <c r="M432" s="1" t="s">
        <v>0</v>
      </c>
    </row>
    <row r="433" spans="1:13" x14ac:dyDescent="0.2">
      <c r="A433" s="6" t="str">
        <f>VLOOKUP(J433,[1]Clientes!$C:$H,6,0)</f>
        <v>CBA</v>
      </c>
      <c r="B433" s="7">
        <f t="shared" si="9"/>
        <v>45220</v>
      </c>
      <c r="C433" s="1" t="s">
        <v>140</v>
      </c>
      <c r="D433" s="1" t="s">
        <v>19</v>
      </c>
      <c r="E433" s="1" t="s">
        <v>20</v>
      </c>
      <c r="F433" s="4">
        <v>45220.587500000001</v>
      </c>
      <c r="G433" s="4">
        <v>45220.587500000001</v>
      </c>
      <c r="H433" s="1" t="s">
        <v>21</v>
      </c>
      <c r="I433" s="1" t="s">
        <v>22</v>
      </c>
      <c r="J433" s="1" t="s">
        <v>69</v>
      </c>
      <c r="L433" s="2">
        <v>31944.73</v>
      </c>
      <c r="M433" s="1" t="s">
        <v>0</v>
      </c>
    </row>
    <row r="434" spans="1:13" x14ac:dyDescent="0.2">
      <c r="A434" s="6" t="str">
        <f>VLOOKUP(J434,[1]Clientes!$C:$H,6,0)</f>
        <v>CBA</v>
      </c>
      <c r="B434" s="7">
        <f t="shared" si="9"/>
        <v>45220</v>
      </c>
      <c r="C434" s="1" t="s">
        <v>518</v>
      </c>
      <c r="D434" s="1" t="s">
        <v>183</v>
      </c>
      <c r="E434" s="1" t="s">
        <v>184</v>
      </c>
      <c r="F434" s="4">
        <v>45220.602777777778</v>
      </c>
      <c r="G434" s="4">
        <v>45220.602777777778</v>
      </c>
      <c r="H434" s="1" t="s">
        <v>21</v>
      </c>
      <c r="I434" s="1" t="s">
        <v>22</v>
      </c>
      <c r="J434" s="1" t="s">
        <v>69</v>
      </c>
      <c r="L434" s="2">
        <v>6348.11</v>
      </c>
      <c r="M434" s="1" t="s">
        <v>0</v>
      </c>
    </row>
    <row r="435" spans="1:13" x14ac:dyDescent="0.2">
      <c r="A435" s="6" t="str">
        <f>VLOOKUP(J435,[1]Clientes!$C:$H,6,0)</f>
        <v>CBA</v>
      </c>
      <c r="B435" s="7">
        <f t="shared" si="9"/>
        <v>45220</v>
      </c>
      <c r="C435" s="1" t="s">
        <v>519</v>
      </c>
      <c r="D435" s="1" t="s">
        <v>183</v>
      </c>
      <c r="E435" s="1" t="s">
        <v>184</v>
      </c>
      <c r="F435" s="4">
        <v>45220.635416666664</v>
      </c>
      <c r="G435" s="4">
        <v>45220.635416666664</v>
      </c>
      <c r="H435" s="1" t="s">
        <v>21</v>
      </c>
      <c r="I435" s="1" t="s">
        <v>22</v>
      </c>
      <c r="J435" s="1" t="s">
        <v>381</v>
      </c>
      <c r="L435" s="2">
        <v>4338.3</v>
      </c>
      <c r="M435" s="1" t="s">
        <v>0</v>
      </c>
    </row>
    <row r="436" spans="1:13" x14ac:dyDescent="0.2">
      <c r="A436" s="6" t="str">
        <f>VLOOKUP(J436,[1]Clientes!$C:$H,6,0)</f>
        <v>CBA</v>
      </c>
      <c r="B436" s="7">
        <f t="shared" si="9"/>
        <v>45220</v>
      </c>
      <c r="C436" s="1" t="s">
        <v>520</v>
      </c>
      <c r="D436" s="1" t="s">
        <v>183</v>
      </c>
      <c r="E436" s="1" t="s">
        <v>184</v>
      </c>
      <c r="F436" s="4">
        <v>45220.783333333333</v>
      </c>
      <c r="G436" s="4">
        <v>45220.783333333333</v>
      </c>
      <c r="H436" s="1" t="s">
        <v>21</v>
      </c>
      <c r="I436" s="1" t="s">
        <v>22</v>
      </c>
      <c r="J436" s="1" t="s">
        <v>69</v>
      </c>
      <c r="L436" s="2">
        <v>3193.34</v>
      </c>
      <c r="M436" s="1" t="s">
        <v>0</v>
      </c>
    </row>
    <row r="437" spans="1:13" x14ac:dyDescent="0.2">
      <c r="A437" s="6" t="str">
        <f>VLOOKUP(J437,[1]Clientes!$C:$H,6,0)</f>
        <v>CBA</v>
      </c>
      <c r="B437" s="7">
        <f t="shared" si="9"/>
        <v>45220</v>
      </c>
      <c r="C437" s="1" t="s">
        <v>521</v>
      </c>
      <c r="D437" s="1" t="s">
        <v>183</v>
      </c>
      <c r="E437" s="1" t="s">
        <v>184</v>
      </c>
      <c r="F437" s="4">
        <v>45220.790972222225</v>
      </c>
      <c r="G437" s="4">
        <v>45220.790972222225</v>
      </c>
      <c r="H437" s="1" t="s">
        <v>21</v>
      </c>
      <c r="I437" s="1" t="s">
        <v>22</v>
      </c>
      <c r="J437" s="1" t="s">
        <v>69</v>
      </c>
      <c r="L437" s="2">
        <v>3203.25</v>
      </c>
      <c r="M437" s="1" t="s">
        <v>0</v>
      </c>
    </row>
    <row r="438" spans="1:13" x14ac:dyDescent="0.2">
      <c r="A438" s="6" t="str">
        <f>VLOOKUP(J438,[1]Clientes!$C:$H,6,0)</f>
        <v>LANXESS</v>
      </c>
      <c r="B438" s="7">
        <f t="shared" si="9"/>
        <v>45222</v>
      </c>
      <c r="C438" s="1" t="s">
        <v>522</v>
      </c>
      <c r="D438" s="1" t="s">
        <v>183</v>
      </c>
      <c r="E438" s="1" t="s">
        <v>184</v>
      </c>
      <c r="F438" s="4">
        <v>45222.393055555556</v>
      </c>
      <c r="G438" s="4">
        <v>45222.393055555556</v>
      </c>
      <c r="H438" s="1" t="s">
        <v>21</v>
      </c>
      <c r="I438" s="1" t="s">
        <v>22</v>
      </c>
      <c r="J438" s="1" t="s">
        <v>221</v>
      </c>
      <c r="L438" s="2">
        <v>782.63</v>
      </c>
      <c r="M438" s="1" t="s">
        <v>648</v>
      </c>
    </row>
    <row r="439" spans="1:13" x14ac:dyDescent="0.2">
      <c r="A439" s="6" t="str">
        <f>VLOOKUP(J439,[1]Clientes!$C:$H,6,0)</f>
        <v>LANXESS</v>
      </c>
      <c r="B439" s="7">
        <f t="shared" ref="B439:B502" si="10">QUOTIENT(F439,1)</f>
        <v>45222</v>
      </c>
      <c r="C439" s="1" t="s">
        <v>523</v>
      </c>
      <c r="D439" s="1" t="s">
        <v>183</v>
      </c>
      <c r="E439" s="1" t="s">
        <v>184</v>
      </c>
      <c r="F439" s="4">
        <v>45222.492361111108</v>
      </c>
      <c r="G439" s="4">
        <v>45222.492361111108</v>
      </c>
      <c r="H439" s="1" t="s">
        <v>21</v>
      </c>
      <c r="I439" s="1" t="s">
        <v>22</v>
      </c>
      <c r="J439" s="1" t="s">
        <v>221</v>
      </c>
      <c r="L439" s="2">
        <v>900.86</v>
      </c>
      <c r="M439" s="1" t="s">
        <v>648</v>
      </c>
    </row>
    <row r="440" spans="1:13" x14ac:dyDescent="0.2">
      <c r="A440" s="6" t="str">
        <f>VLOOKUP(J440,[1]Clientes!$C:$H,6,0)</f>
        <v>CBA</v>
      </c>
      <c r="B440" s="7">
        <f t="shared" si="10"/>
        <v>45222</v>
      </c>
      <c r="C440" s="1" t="s">
        <v>524</v>
      </c>
      <c r="D440" s="1" t="s">
        <v>183</v>
      </c>
      <c r="E440" s="1" t="s">
        <v>184</v>
      </c>
      <c r="F440" s="4">
        <v>45222.515972222223</v>
      </c>
      <c r="G440" s="4">
        <v>45222.515972222223</v>
      </c>
      <c r="H440" s="1" t="s">
        <v>21</v>
      </c>
      <c r="I440" s="1" t="s">
        <v>22</v>
      </c>
      <c r="J440" s="1" t="s">
        <v>69</v>
      </c>
      <c r="L440" s="2">
        <v>3272.01</v>
      </c>
      <c r="M440" s="1" t="s">
        <v>0</v>
      </c>
    </row>
    <row r="441" spans="1:13" x14ac:dyDescent="0.2">
      <c r="A441" s="6" t="str">
        <f>VLOOKUP(J441,[1]Clientes!$C:$H,6,0)</f>
        <v>CBA</v>
      </c>
      <c r="B441" s="7">
        <f t="shared" si="10"/>
        <v>45222</v>
      </c>
      <c r="C441" s="1" t="s">
        <v>525</v>
      </c>
      <c r="D441" s="1" t="s">
        <v>183</v>
      </c>
      <c r="E441" s="1" t="s">
        <v>184</v>
      </c>
      <c r="F441" s="4">
        <v>45222.556944444441</v>
      </c>
      <c r="G441" s="4">
        <v>45222.556944444441</v>
      </c>
      <c r="H441" s="1" t="s">
        <v>21</v>
      </c>
      <c r="I441" s="1" t="s">
        <v>22</v>
      </c>
      <c r="J441" s="1" t="s">
        <v>69</v>
      </c>
      <c r="L441" s="2">
        <v>3271.01</v>
      </c>
      <c r="M441" s="1" t="s">
        <v>0</v>
      </c>
    </row>
    <row r="442" spans="1:13" x14ac:dyDescent="0.2">
      <c r="A442" s="6" t="str">
        <f>VLOOKUP(J442,[1]Clientes!$C:$H,6,0)</f>
        <v>CBA</v>
      </c>
      <c r="B442" s="7">
        <f t="shared" si="10"/>
        <v>45222</v>
      </c>
      <c r="C442" s="1" t="s">
        <v>526</v>
      </c>
      <c r="D442" s="1" t="s">
        <v>183</v>
      </c>
      <c r="E442" s="1" t="s">
        <v>184</v>
      </c>
      <c r="F442" s="4">
        <v>45222.559027777781</v>
      </c>
      <c r="G442" s="4">
        <v>45222.559027777781</v>
      </c>
      <c r="H442" s="1" t="s">
        <v>21</v>
      </c>
      <c r="I442" s="1" t="s">
        <v>22</v>
      </c>
      <c r="J442" s="1" t="s">
        <v>381</v>
      </c>
      <c r="L442" s="2">
        <v>5454.69</v>
      </c>
      <c r="M442" s="1" t="s">
        <v>0</v>
      </c>
    </row>
    <row r="443" spans="1:13" x14ac:dyDescent="0.2">
      <c r="A443" s="6" t="str">
        <f>VLOOKUP(J443,[1]Clientes!$C:$H,6,0)</f>
        <v>UNIPAR</v>
      </c>
      <c r="B443" s="7">
        <f t="shared" si="10"/>
        <v>45222</v>
      </c>
      <c r="C443" s="1" t="s">
        <v>527</v>
      </c>
      <c r="D443" s="1" t="s">
        <v>183</v>
      </c>
      <c r="E443" s="1" t="s">
        <v>184</v>
      </c>
      <c r="F443" s="4">
        <v>45222.587500000001</v>
      </c>
      <c r="G443" s="4">
        <v>45222.587500000001</v>
      </c>
      <c r="H443" s="1" t="s">
        <v>21</v>
      </c>
      <c r="I443" s="1" t="s">
        <v>22</v>
      </c>
      <c r="J443" s="1" t="s">
        <v>63</v>
      </c>
      <c r="L443" s="2">
        <v>3425.27</v>
      </c>
      <c r="M443" s="1" t="s">
        <v>647</v>
      </c>
    </row>
    <row r="444" spans="1:13" x14ac:dyDescent="0.2">
      <c r="A444" s="6" t="str">
        <f>VLOOKUP(J444,[1]Clientes!$C:$H,6,0)</f>
        <v>UNIPAR</v>
      </c>
      <c r="B444" s="7">
        <f t="shared" si="10"/>
        <v>45222</v>
      </c>
      <c r="C444" s="1" t="s">
        <v>141</v>
      </c>
      <c r="D444" s="1" t="s">
        <v>19</v>
      </c>
      <c r="E444" s="1" t="s">
        <v>20</v>
      </c>
      <c r="F444" s="4">
        <v>45222.595138888886</v>
      </c>
      <c r="G444" s="4">
        <v>45222.595138888886</v>
      </c>
      <c r="H444" s="1" t="s">
        <v>21</v>
      </c>
      <c r="I444" s="1" t="s">
        <v>22</v>
      </c>
      <c r="J444" s="1" t="s">
        <v>63</v>
      </c>
      <c r="L444" s="2">
        <v>3861.44</v>
      </c>
      <c r="M444" s="1" t="s">
        <v>647</v>
      </c>
    </row>
    <row r="445" spans="1:13" x14ac:dyDescent="0.2">
      <c r="A445" s="6" t="s">
        <v>1</v>
      </c>
      <c r="B445" s="7">
        <f t="shared" si="10"/>
        <v>45222</v>
      </c>
      <c r="C445" s="1" t="s">
        <v>142</v>
      </c>
      <c r="D445" s="1" t="s">
        <v>19</v>
      </c>
      <c r="E445" s="1" t="s">
        <v>20</v>
      </c>
      <c r="F445" s="4">
        <v>45222.605555555558</v>
      </c>
      <c r="G445" s="4">
        <v>45222.605555555558</v>
      </c>
      <c r="H445" s="1" t="s">
        <v>21</v>
      </c>
      <c r="I445" s="1" t="s">
        <v>22</v>
      </c>
      <c r="J445" s="1" t="s">
        <v>25</v>
      </c>
      <c r="L445" s="2">
        <v>2798.4</v>
      </c>
      <c r="M445" s="1" t="s">
        <v>1</v>
      </c>
    </row>
    <row r="446" spans="1:13" x14ac:dyDescent="0.2">
      <c r="A446" s="6" t="str">
        <f>VLOOKUP(J446,[1]Clientes!$C:$H,6,0)</f>
        <v>LANXESS</v>
      </c>
      <c r="B446" s="7">
        <f t="shared" si="10"/>
        <v>45222</v>
      </c>
      <c r="C446" s="1" t="s">
        <v>528</v>
      </c>
      <c r="D446" s="1" t="s">
        <v>183</v>
      </c>
      <c r="E446" s="1" t="s">
        <v>184</v>
      </c>
      <c r="F446" s="4">
        <v>45222.612500000003</v>
      </c>
      <c r="G446" s="4">
        <v>45222.612500000003</v>
      </c>
      <c r="H446" s="1" t="s">
        <v>21</v>
      </c>
      <c r="I446" s="1" t="s">
        <v>22</v>
      </c>
      <c r="J446" s="1" t="s">
        <v>221</v>
      </c>
      <c r="L446" s="2">
        <v>2206.7399999999998</v>
      </c>
      <c r="M446" s="1" t="s">
        <v>648</v>
      </c>
    </row>
    <row r="447" spans="1:13" x14ac:dyDescent="0.2">
      <c r="A447" s="6" t="str">
        <f>VLOOKUP(J447,[1]Clientes!$C:$H,6,0)</f>
        <v>CBA</v>
      </c>
      <c r="B447" s="7">
        <f t="shared" si="10"/>
        <v>45222</v>
      </c>
      <c r="C447" s="1" t="s">
        <v>529</v>
      </c>
      <c r="D447" s="1" t="s">
        <v>183</v>
      </c>
      <c r="E447" s="1" t="s">
        <v>184</v>
      </c>
      <c r="F447" s="4">
        <v>45222.664583333331</v>
      </c>
      <c r="G447" s="4">
        <v>45222.664583333331</v>
      </c>
      <c r="H447" s="1" t="s">
        <v>21</v>
      </c>
      <c r="I447" s="1" t="s">
        <v>22</v>
      </c>
      <c r="J447" s="1" t="s">
        <v>69</v>
      </c>
      <c r="L447" s="2">
        <v>3271.64</v>
      </c>
      <c r="M447" s="1" t="s">
        <v>0</v>
      </c>
    </row>
    <row r="448" spans="1:13" x14ac:dyDescent="0.2">
      <c r="A448" s="6" t="str">
        <f>VLOOKUP(J448,[1]Clientes!$C:$H,6,0)</f>
        <v>CBA</v>
      </c>
      <c r="B448" s="7">
        <f t="shared" si="10"/>
        <v>45222</v>
      </c>
      <c r="C448" s="1" t="s">
        <v>530</v>
      </c>
      <c r="D448" s="1" t="s">
        <v>183</v>
      </c>
      <c r="E448" s="1" t="s">
        <v>184</v>
      </c>
      <c r="F448" s="4">
        <v>45222.668749999997</v>
      </c>
      <c r="G448" s="4">
        <v>45222.668749999997</v>
      </c>
      <c r="H448" s="1" t="s">
        <v>21</v>
      </c>
      <c r="I448" s="1" t="s">
        <v>22</v>
      </c>
      <c r="J448" s="1" t="s">
        <v>69</v>
      </c>
      <c r="L448" s="2">
        <v>3271.51</v>
      </c>
      <c r="M448" s="1" t="s">
        <v>0</v>
      </c>
    </row>
    <row r="449" spans="1:13" x14ac:dyDescent="0.2">
      <c r="A449" s="6" t="str">
        <f>VLOOKUP(J449,[1]Clientes!$C:$H,6,0)</f>
        <v>CBA</v>
      </c>
      <c r="B449" s="7">
        <f t="shared" si="10"/>
        <v>45222</v>
      </c>
      <c r="C449" s="1" t="s">
        <v>531</v>
      </c>
      <c r="D449" s="1" t="s">
        <v>183</v>
      </c>
      <c r="E449" s="1" t="s">
        <v>184</v>
      </c>
      <c r="F449" s="4">
        <v>45222.675000000003</v>
      </c>
      <c r="G449" s="4">
        <v>45222.675000000003</v>
      </c>
      <c r="H449" s="1" t="s">
        <v>21</v>
      </c>
      <c r="I449" s="1" t="s">
        <v>22</v>
      </c>
      <c r="J449" s="1" t="s">
        <v>69</v>
      </c>
      <c r="L449" s="2">
        <v>3270.64</v>
      </c>
      <c r="M449" s="1" t="s">
        <v>0</v>
      </c>
    </row>
    <row r="450" spans="1:13" x14ac:dyDescent="0.2">
      <c r="A450" s="6" t="s">
        <v>1</v>
      </c>
      <c r="B450" s="7">
        <f t="shared" si="10"/>
        <v>45222</v>
      </c>
      <c r="C450" s="1" t="s">
        <v>143</v>
      </c>
      <c r="D450" s="1" t="s">
        <v>19</v>
      </c>
      <c r="E450" s="1" t="s">
        <v>20</v>
      </c>
      <c r="F450" s="4">
        <v>45222.677083333336</v>
      </c>
      <c r="G450" s="4">
        <v>45222.677083333336</v>
      </c>
      <c r="H450" s="1" t="s">
        <v>21</v>
      </c>
      <c r="I450" s="1" t="s">
        <v>22</v>
      </c>
      <c r="J450" s="1" t="s">
        <v>25</v>
      </c>
      <c r="L450" s="2">
        <v>2798.4</v>
      </c>
      <c r="M450" s="1" t="s">
        <v>1</v>
      </c>
    </row>
    <row r="451" spans="1:13" x14ac:dyDescent="0.2">
      <c r="A451" s="6" t="str">
        <f>VLOOKUP(J451,[1]Clientes!$C:$H,6,0)</f>
        <v>CBA</v>
      </c>
      <c r="B451" s="7">
        <f t="shared" si="10"/>
        <v>45222</v>
      </c>
      <c r="C451" s="1" t="s">
        <v>532</v>
      </c>
      <c r="D451" s="1" t="s">
        <v>183</v>
      </c>
      <c r="E451" s="1" t="s">
        <v>184</v>
      </c>
      <c r="F451" s="4">
        <v>45222.682638888888</v>
      </c>
      <c r="G451" s="4">
        <v>45222.682638888888</v>
      </c>
      <c r="H451" s="1" t="s">
        <v>21</v>
      </c>
      <c r="I451" s="1" t="s">
        <v>22</v>
      </c>
      <c r="J451" s="1" t="s">
        <v>69</v>
      </c>
      <c r="L451" s="2">
        <v>3270.15</v>
      </c>
      <c r="M451" s="1" t="s">
        <v>0</v>
      </c>
    </row>
    <row r="452" spans="1:13" x14ac:dyDescent="0.2">
      <c r="A452" s="6" t="str">
        <f>VLOOKUP(J452,[1]Clientes!$C:$H,6,0)</f>
        <v>LANXESS</v>
      </c>
      <c r="B452" s="7">
        <f t="shared" si="10"/>
        <v>45222</v>
      </c>
      <c r="C452" s="1" t="s">
        <v>533</v>
      </c>
      <c r="D452" s="1" t="s">
        <v>183</v>
      </c>
      <c r="E452" s="1" t="s">
        <v>184</v>
      </c>
      <c r="F452" s="4">
        <v>45222.695138888892</v>
      </c>
      <c r="G452" s="4">
        <v>45222.695138888892</v>
      </c>
      <c r="H452" s="1" t="s">
        <v>21</v>
      </c>
      <c r="I452" s="1" t="s">
        <v>22</v>
      </c>
      <c r="J452" s="1" t="s">
        <v>221</v>
      </c>
      <c r="L452" s="2">
        <v>1334.86</v>
      </c>
      <c r="M452" s="1" t="s">
        <v>648</v>
      </c>
    </row>
    <row r="453" spans="1:13" x14ac:dyDescent="0.2">
      <c r="A453" s="6" t="str">
        <f>VLOOKUP(J453,[1]Clientes!$C:$H,6,0)</f>
        <v>UNIPAR</v>
      </c>
      <c r="B453" s="7">
        <f t="shared" si="10"/>
        <v>45222</v>
      </c>
      <c r="C453" s="1" t="s">
        <v>534</v>
      </c>
      <c r="D453" s="1" t="s">
        <v>183</v>
      </c>
      <c r="E453" s="1" t="s">
        <v>184</v>
      </c>
      <c r="F453" s="4">
        <v>45222.75</v>
      </c>
      <c r="G453" s="4">
        <v>45222.75</v>
      </c>
      <c r="H453" s="1" t="s">
        <v>21</v>
      </c>
      <c r="I453" s="1" t="s">
        <v>22</v>
      </c>
      <c r="J453" s="1" t="s">
        <v>63</v>
      </c>
      <c r="L453" s="2">
        <v>3425.27</v>
      </c>
      <c r="M453" s="1" t="s">
        <v>647</v>
      </c>
    </row>
    <row r="454" spans="1:13" x14ac:dyDescent="0.2">
      <c r="A454" s="6" t="str">
        <f>VLOOKUP(J454,[1]Clientes!$C:$H,6,0)</f>
        <v>IMERYS</v>
      </c>
      <c r="B454" s="7">
        <f t="shared" si="10"/>
        <v>45222</v>
      </c>
      <c r="C454" s="1" t="s">
        <v>535</v>
      </c>
      <c r="D454" s="1" t="s">
        <v>183</v>
      </c>
      <c r="E454" s="1" t="s">
        <v>184</v>
      </c>
      <c r="F454" s="4">
        <v>45222.826388888891</v>
      </c>
      <c r="G454" s="4">
        <v>45222.826388888891</v>
      </c>
      <c r="H454" s="1" t="s">
        <v>21</v>
      </c>
      <c r="I454" s="1" t="s">
        <v>22</v>
      </c>
      <c r="J454" s="1" t="s">
        <v>188</v>
      </c>
      <c r="L454" s="2">
        <v>1071.93</v>
      </c>
      <c r="M454" s="1" t="s">
        <v>6</v>
      </c>
    </row>
    <row r="455" spans="1:13" x14ac:dyDescent="0.2">
      <c r="A455" s="6" t="str">
        <f>VLOOKUP(J455,[1]Clientes!$C:$H,6,0)</f>
        <v>IMERYS</v>
      </c>
      <c r="B455" s="7">
        <f t="shared" si="10"/>
        <v>45222</v>
      </c>
      <c r="C455" s="1" t="s">
        <v>536</v>
      </c>
      <c r="D455" s="1" t="s">
        <v>183</v>
      </c>
      <c r="E455" s="1" t="s">
        <v>184</v>
      </c>
      <c r="F455" s="4">
        <v>45222.836111111108</v>
      </c>
      <c r="G455" s="4">
        <v>45222.836111111108</v>
      </c>
      <c r="H455" s="1" t="s">
        <v>21</v>
      </c>
      <c r="I455" s="1" t="s">
        <v>22</v>
      </c>
      <c r="J455" s="1" t="s">
        <v>188</v>
      </c>
      <c r="L455" s="2">
        <v>834.73</v>
      </c>
      <c r="M455" s="1" t="s">
        <v>6</v>
      </c>
    </row>
    <row r="456" spans="1:13" x14ac:dyDescent="0.2">
      <c r="A456" s="6" t="str">
        <f>VLOOKUP(J456,[1]Clientes!$C:$H,6,0)</f>
        <v>UNIPAR</v>
      </c>
      <c r="B456" s="7">
        <f t="shared" si="10"/>
        <v>45222</v>
      </c>
      <c r="C456" s="1" t="s">
        <v>537</v>
      </c>
      <c r="D456" s="1" t="s">
        <v>183</v>
      </c>
      <c r="E456" s="1" t="s">
        <v>184</v>
      </c>
      <c r="F456" s="4">
        <v>45222.885416666664</v>
      </c>
      <c r="G456" s="4">
        <v>45222.885416666664</v>
      </c>
      <c r="H456" s="1" t="s">
        <v>21</v>
      </c>
      <c r="I456" s="1" t="s">
        <v>22</v>
      </c>
      <c r="J456" s="1" t="s">
        <v>63</v>
      </c>
      <c r="L456" s="2">
        <v>7884.14</v>
      </c>
      <c r="M456" s="1" t="s">
        <v>647</v>
      </c>
    </row>
    <row r="457" spans="1:13" x14ac:dyDescent="0.2">
      <c r="A457" s="6" t="str">
        <f>VLOOKUP(J457,[1]Clientes!$C:$H,6,0)</f>
        <v>CBA</v>
      </c>
      <c r="B457" s="7">
        <f t="shared" si="10"/>
        <v>45222</v>
      </c>
      <c r="C457" s="1" t="s">
        <v>538</v>
      </c>
      <c r="D457" s="1" t="s">
        <v>183</v>
      </c>
      <c r="E457" s="1" t="s">
        <v>184</v>
      </c>
      <c r="F457" s="4">
        <v>45222.927083333336</v>
      </c>
      <c r="G457" s="4">
        <v>45222.927083333336</v>
      </c>
      <c r="H457" s="1" t="s">
        <v>21</v>
      </c>
      <c r="I457" s="1" t="s">
        <v>22</v>
      </c>
      <c r="J457" s="1" t="s">
        <v>69</v>
      </c>
      <c r="L457" s="2">
        <v>1887.8</v>
      </c>
      <c r="M457" s="1" t="s">
        <v>0</v>
      </c>
    </row>
    <row r="458" spans="1:13" x14ac:dyDescent="0.2">
      <c r="A458" s="6" t="str">
        <f>VLOOKUP(J458,[1]Clientes!$C:$H,6,0)</f>
        <v>CBA</v>
      </c>
      <c r="B458" s="7">
        <f t="shared" si="10"/>
        <v>45222</v>
      </c>
      <c r="C458" s="1" t="s">
        <v>539</v>
      </c>
      <c r="D458" s="1" t="s">
        <v>183</v>
      </c>
      <c r="E458" s="1" t="s">
        <v>184</v>
      </c>
      <c r="F458" s="4">
        <v>45222.967361111114</v>
      </c>
      <c r="G458" s="4">
        <v>45222.967361111114</v>
      </c>
      <c r="H458" s="1" t="s">
        <v>21</v>
      </c>
      <c r="I458" s="1" t="s">
        <v>22</v>
      </c>
      <c r="J458" s="1" t="s">
        <v>381</v>
      </c>
      <c r="L458" s="2">
        <v>5809.18</v>
      </c>
      <c r="M458" s="1" t="s">
        <v>0</v>
      </c>
    </row>
    <row r="459" spans="1:13" x14ac:dyDescent="0.2">
      <c r="A459" s="6" t="str">
        <f>VLOOKUP(J459,[1]Clientes!$C:$H,6,0)</f>
        <v>CBA</v>
      </c>
      <c r="B459" s="7">
        <f t="shared" si="10"/>
        <v>45222</v>
      </c>
      <c r="C459" s="1" t="s">
        <v>540</v>
      </c>
      <c r="D459" s="1" t="s">
        <v>183</v>
      </c>
      <c r="E459" s="1" t="s">
        <v>184</v>
      </c>
      <c r="F459" s="4">
        <v>45222.991666666669</v>
      </c>
      <c r="G459" s="4">
        <v>45222.991666666669</v>
      </c>
      <c r="H459" s="1" t="s">
        <v>21</v>
      </c>
      <c r="I459" s="1" t="s">
        <v>22</v>
      </c>
      <c r="J459" s="1" t="s">
        <v>69</v>
      </c>
      <c r="L459" s="2">
        <v>3698.5</v>
      </c>
      <c r="M459" s="1" t="s">
        <v>0</v>
      </c>
    </row>
    <row r="460" spans="1:13" x14ac:dyDescent="0.2">
      <c r="A460" s="6" t="str">
        <f>VLOOKUP(J460,[1]Clientes!$C:$H,6,0)</f>
        <v>CBA</v>
      </c>
      <c r="B460" s="7">
        <f t="shared" si="10"/>
        <v>45222</v>
      </c>
      <c r="C460" s="1" t="s">
        <v>541</v>
      </c>
      <c r="D460" s="1" t="s">
        <v>183</v>
      </c>
      <c r="E460" s="1" t="s">
        <v>184</v>
      </c>
      <c r="F460" s="4">
        <v>45222.992361111108</v>
      </c>
      <c r="G460" s="4">
        <v>45222.992361111108</v>
      </c>
      <c r="H460" s="1" t="s">
        <v>21</v>
      </c>
      <c r="I460" s="1" t="s">
        <v>22</v>
      </c>
      <c r="J460" s="1" t="s">
        <v>69</v>
      </c>
      <c r="L460" s="2">
        <v>3694.27</v>
      </c>
      <c r="M460" s="1" t="s">
        <v>0</v>
      </c>
    </row>
    <row r="461" spans="1:13" x14ac:dyDescent="0.2">
      <c r="A461" s="6" t="str">
        <f>VLOOKUP(J461,[1]Clientes!$C:$H,6,0)</f>
        <v>OUTROS</v>
      </c>
      <c r="B461" s="7">
        <f t="shared" si="10"/>
        <v>45223</v>
      </c>
      <c r="C461" s="1" t="s">
        <v>542</v>
      </c>
      <c r="D461" s="1" t="s">
        <v>183</v>
      </c>
      <c r="E461" s="1" t="s">
        <v>184</v>
      </c>
      <c r="F461" s="4">
        <v>45223.402083333334</v>
      </c>
      <c r="G461" s="4">
        <v>45223.402083333334</v>
      </c>
      <c r="H461" s="1" t="s">
        <v>21</v>
      </c>
      <c r="I461" s="1" t="s">
        <v>22</v>
      </c>
      <c r="J461" s="1" t="s">
        <v>234</v>
      </c>
      <c r="L461" s="2">
        <v>980</v>
      </c>
      <c r="M461" s="1" t="s">
        <v>4</v>
      </c>
    </row>
    <row r="462" spans="1:13" x14ac:dyDescent="0.2">
      <c r="A462" s="6" t="str">
        <f>VLOOKUP(J462,[1]Clientes!$C:$H,6,0)</f>
        <v>IMERYS</v>
      </c>
      <c r="B462" s="7">
        <f t="shared" si="10"/>
        <v>45223</v>
      </c>
      <c r="C462" s="1" t="s">
        <v>543</v>
      </c>
      <c r="D462" s="1" t="s">
        <v>183</v>
      </c>
      <c r="E462" s="1" t="s">
        <v>184</v>
      </c>
      <c r="F462" s="4">
        <v>45223.427777777775</v>
      </c>
      <c r="G462" s="4">
        <v>45223.427777777775</v>
      </c>
      <c r="H462" s="1" t="s">
        <v>21</v>
      </c>
      <c r="I462" s="1" t="s">
        <v>22</v>
      </c>
      <c r="J462" s="1" t="s">
        <v>188</v>
      </c>
      <c r="L462" s="2">
        <v>1150.0999999999999</v>
      </c>
      <c r="M462" s="1" t="s">
        <v>6</v>
      </c>
    </row>
    <row r="463" spans="1:13" x14ac:dyDescent="0.2">
      <c r="A463" s="6" t="str">
        <f>VLOOKUP(J463,[1]Clientes!$C:$H,6,0)</f>
        <v>OUTROS</v>
      </c>
      <c r="B463" s="7">
        <f t="shared" si="10"/>
        <v>45223</v>
      </c>
      <c r="C463" s="1" t="s">
        <v>544</v>
      </c>
      <c r="D463" s="1" t="s">
        <v>183</v>
      </c>
      <c r="E463" s="1" t="s">
        <v>184</v>
      </c>
      <c r="F463" s="4">
        <v>45223.481249999997</v>
      </c>
      <c r="G463" s="4">
        <v>45223.481249999997</v>
      </c>
      <c r="H463" s="1" t="s">
        <v>21</v>
      </c>
      <c r="I463" s="1" t="s">
        <v>22</v>
      </c>
      <c r="J463" s="1" t="s">
        <v>545</v>
      </c>
      <c r="L463" s="2">
        <v>1167.6300000000001</v>
      </c>
      <c r="M463" s="1" t="s">
        <v>4</v>
      </c>
    </row>
    <row r="464" spans="1:13" x14ac:dyDescent="0.2">
      <c r="A464" s="6" t="str">
        <f>VLOOKUP(J464,[1]Clientes!$C:$H,6,0)</f>
        <v>CBA</v>
      </c>
      <c r="B464" s="7">
        <f t="shared" si="10"/>
        <v>45223</v>
      </c>
      <c r="C464" s="1" t="s">
        <v>546</v>
      </c>
      <c r="D464" s="1" t="s">
        <v>183</v>
      </c>
      <c r="E464" s="1" t="s">
        <v>184</v>
      </c>
      <c r="F464" s="4">
        <v>45223.556944444441</v>
      </c>
      <c r="G464" s="4">
        <v>45223.556944444441</v>
      </c>
      <c r="H464" s="1" t="s">
        <v>21</v>
      </c>
      <c r="I464" s="1" t="s">
        <v>22</v>
      </c>
      <c r="J464" s="1" t="s">
        <v>381</v>
      </c>
      <c r="L464" s="2">
        <v>5805.4</v>
      </c>
      <c r="M464" s="1" t="s">
        <v>0</v>
      </c>
    </row>
    <row r="465" spans="1:13" x14ac:dyDescent="0.2">
      <c r="A465" s="6" t="str">
        <f>VLOOKUP(J465,[1]Clientes!$C:$H,6,0)</f>
        <v>CBA</v>
      </c>
      <c r="B465" s="7">
        <f t="shared" si="10"/>
        <v>45223</v>
      </c>
      <c r="C465" s="1" t="s">
        <v>547</v>
      </c>
      <c r="D465" s="1" t="s">
        <v>183</v>
      </c>
      <c r="E465" s="1" t="s">
        <v>184</v>
      </c>
      <c r="F465" s="4">
        <v>45223.581250000003</v>
      </c>
      <c r="G465" s="4">
        <v>45223.581250000003</v>
      </c>
      <c r="H465" s="1" t="s">
        <v>21</v>
      </c>
      <c r="I465" s="1" t="s">
        <v>22</v>
      </c>
      <c r="J465" s="1" t="s">
        <v>69</v>
      </c>
      <c r="L465" s="2">
        <v>5857.16</v>
      </c>
      <c r="M465" s="1" t="s">
        <v>0</v>
      </c>
    </row>
    <row r="466" spans="1:13" x14ac:dyDescent="0.2">
      <c r="A466" s="6" t="str">
        <f>VLOOKUP(J466,[1]Clientes!$C:$H,6,0)</f>
        <v>CBA</v>
      </c>
      <c r="B466" s="7">
        <f t="shared" si="10"/>
        <v>45223</v>
      </c>
      <c r="C466" s="1" t="s">
        <v>548</v>
      </c>
      <c r="D466" s="1" t="s">
        <v>183</v>
      </c>
      <c r="E466" s="1" t="s">
        <v>184</v>
      </c>
      <c r="F466" s="4">
        <v>45223.602777777778</v>
      </c>
      <c r="G466" s="4">
        <v>45223.602777777778</v>
      </c>
      <c r="H466" s="1" t="s">
        <v>21</v>
      </c>
      <c r="I466" s="1" t="s">
        <v>22</v>
      </c>
      <c r="J466" s="1" t="s">
        <v>69</v>
      </c>
      <c r="L466" s="2">
        <v>3418.18</v>
      </c>
      <c r="M466" s="1" t="s">
        <v>0</v>
      </c>
    </row>
    <row r="467" spans="1:13" x14ac:dyDescent="0.2">
      <c r="A467" s="6" t="str">
        <f>VLOOKUP(J467,[1]Clientes!$C:$H,6,0)</f>
        <v>CBA</v>
      </c>
      <c r="B467" s="7">
        <f t="shared" si="10"/>
        <v>45223</v>
      </c>
      <c r="C467" s="1" t="s">
        <v>549</v>
      </c>
      <c r="D467" s="1" t="s">
        <v>183</v>
      </c>
      <c r="E467" s="1" t="s">
        <v>184</v>
      </c>
      <c r="F467" s="4">
        <v>45223.604861111111</v>
      </c>
      <c r="G467" s="4">
        <v>45223.604861111111</v>
      </c>
      <c r="H467" s="1" t="s">
        <v>21</v>
      </c>
      <c r="I467" s="1" t="s">
        <v>22</v>
      </c>
      <c r="J467" s="1" t="s">
        <v>69</v>
      </c>
      <c r="L467" s="2">
        <v>3421.02</v>
      </c>
      <c r="M467" s="1" t="s">
        <v>0</v>
      </c>
    </row>
    <row r="468" spans="1:13" x14ac:dyDescent="0.2">
      <c r="A468" s="6" t="str">
        <f>VLOOKUP(J468,[1]Clientes!$C:$H,6,0)</f>
        <v>CBA</v>
      </c>
      <c r="B468" s="7">
        <f t="shared" si="10"/>
        <v>45223</v>
      </c>
      <c r="C468" s="1" t="s">
        <v>550</v>
      </c>
      <c r="D468" s="1" t="s">
        <v>183</v>
      </c>
      <c r="E468" s="1" t="s">
        <v>184</v>
      </c>
      <c r="F468" s="4">
        <v>45223.675694444442</v>
      </c>
      <c r="G468" s="4">
        <v>45223.675694444442</v>
      </c>
      <c r="H468" s="1" t="s">
        <v>21</v>
      </c>
      <c r="I468" s="1" t="s">
        <v>22</v>
      </c>
      <c r="J468" s="1" t="s">
        <v>69</v>
      </c>
      <c r="L468" s="2">
        <v>3271.26</v>
      </c>
      <c r="M468" s="1" t="s">
        <v>0</v>
      </c>
    </row>
    <row r="469" spans="1:13" x14ac:dyDescent="0.2">
      <c r="A469" s="6" t="str">
        <f>VLOOKUP(J469,[1]Clientes!$C:$H,6,0)</f>
        <v>CBA</v>
      </c>
      <c r="B469" s="7">
        <f t="shared" si="10"/>
        <v>45223</v>
      </c>
      <c r="C469" s="1" t="s">
        <v>551</v>
      </c>
      <c r="D469" s="1" t="s">
        <v>183</v>
      </c>
      <c r="E469" s="1" t="s">
        <v>184</v>
      </c>
      <c r="F469" s="4">
        <v>45223.679861111108</v>
      </c>
      <c r="G469" s="4">
        <v>45223.679861111108</v>
      </c>
      <c r="H469" s="1" t="s">
        <v>21</v>
      </c>
      <c r="I469" s="1" t="s">
        <v>22</v>
      </c>
      <c r="J469" s="1" t="s">
        <v>69</v>
      </c>
      <c r="L469" s="2">
        <v>3271.89</v>
      </c>
      <c r="M469" s="1" t="s">
        <v>0</v>
      </c>
    </row>
    <row r="470" spans="1:13" x14ac:dyDescent="0.2">
      <c r="A470" s="6" t="str">
        <f>VLOOKUP(J470,[1]Clientes!$C:$H,6,0)</f>
        <v>IMERYS</v>
      </c>
      <c r="B470" s="7">
        <f t="shared" si="10"/>
        <v>45223</v>
      </c>
      <c r="C470" s="1" t="s">
        <v>552</v>
      </c>
      <c r="D470" s="1" t="s">
        <v>183</v>
      </c>
      <c r="E470" s="1" t="s">
        <v>184</v>
      </c>
      <c r="F470" s="4">
        <v>45223.683333333334</v>
      </c>
      <c r="G470" s="4">
        <v>45223.683333333334</v>
      </c>
      <c r="H470" s="1" t="s">
        <v>21</v>
      </c>
      <c r="I470" s="1" t="s">
        <v>22</v>
      </c>
      <c r="J470" s="1" t="s">
        <v>188</v>
      </c>
      <c r="L470" s="2">
        <v>899.4</v>
      </c>
      <c r="M470" s="1" t="s">
        <v>6</v>
      </c>
    </row>
    <row r="471" spans="1:13" x14ac:dyDescent="0.2">
      <c r="A471" s="6" t="str">
        <f>VLOOKUP(J471,[1]Clientes!$C:$H,6,0)</f>
        <v>LANXESS</v>
      </c>
      <c r="B471" s="7">
        <f t="shared" si="10"/>
        <v>45223</v>
      </c>
      <c r="C471" s="1" t="s">
        <v>553</v>
      </c>
      <c r="D471" s="1" t="s">
        <v>183</v>
      </c>
      <c r="E471" s="1" t="s">
        <v>184</v>
      </c>
      <c r="F471" s="4">
        <v>45223.686111111114</v>
      </c>
      <c r="G471" s="4">
        <v>45223.686111111114</v>
      </c>
      <c r="H471" s="1" t="s">
        <v>21</v>
      </c>
      <c r="I471" s="1" t="s">
        <v>22</v>
      </c>
      <c r="J471" s="1" t="s">
        <v>221</v>
      </c>
      <c r="L471" s="2">
        <v>620.94000000000005</v>
      </c>
      <c r="M471" s="1" t="s">
        <v>648</v>
      </c>
    </row>
    <row r="472" spans="1:13" x14ac:dyDescent="0.2">
      <c r="A472" s="6" t="str">
        <f>VLOOKUP(J472,[1]Clientes!$C:$H,6,0)</f>
        <v>CBA</v>
      </c>
      <c r="B472" s="7">
        <f t="shared" si="10"/>
        <v>45223</v>
      </c>
      <c r="C472" s="1" t="s">
        <v>554</v>
      </c>
      <c r="D472" s="1" t="s">
        <v>183</v>
      </c>
      <c r="E472" s="1" t="s">
        <v>184</v>
      </c>
      <c r="F472" s="4">
        <v>45223.690972222219</v>
      </c>
      <c r="G472" s="4">
        <v>45223.690972222219</v>
      </c>
      <c r="H472" s="1" t="s">
        <v>21</v>
      </c>
      <c r="I472" s="1" t="s">
        <v>22</v>
      </c>
      <c r="J472" s="1" t="s">
        <v>69</v>
      </c>
      <c r="L472" s="2">
        <v>3272.51</v>
      </c>
      <c r="M472" s="1" t="s">
        <v>0</v>
      </c>
    </row>
    <row r="473" spans="1:13" x14ac:dyDescent="0.2">
      <c r="A473" s="6" t="s">
        <v>1</v>
      </c>
      <c r="B473" s="7">
        <f t="shared" si="10"/>
        <v>45223</v>
      </c>
      <c r="C473" s="1" t="s">
        <v>144</v>
      </c>
      <c r="D473" s="1" t="s">
        <v>19</v>
      </c>
      <c r="E473" s="1" t="s">
        <v>20</v>
      </c>
      <c r="F473" s="4">
        <v>45223.695833333331</v>
      </c>
      <c r="G473" s="4">
        <v>45223.695833333331</v>
      </c>
      <c r="H473" s="1" t="s">
        <v>21</v>
      </c>
      <c r="I473" s="1" t="s">
        <v>22</v>
      </c>
      <c r="J473" s="1" t="s">
        <v>25</v>
      </c>
      <c r="L473" s="2">
        <v>2798.4</v>
      </c>
      <c r="M473" s="1" t="s">
        <v>1</v>
      </c>
    </row>
    <row r="474" spans="1:13" x14ac:dyDescent="0.2">
      <c r="A474" s="6" t="str">
        <f>VLOOKUP(J474,[1]Clientes!$C:$H,6,0)</f>
        <v>CBA</v>
      </c>
      <c r="B474" s="7">
        <f t="shared" si="10"/>
        <v>45223</v>
      </c>
      <c r="C474" s="1" t="s">
        <v>555</v>
      </c>
      <c r="D474" s="1" t="s">
        <v>183</v>
      </c>
      <c r="E474" s="1" t="s">
        <v>184</v>
      </c>
      <c r="F474" s="4">
        <v>45223.696527777778</v>
      </c>
      <c r="G474" s="4">
        <v>45223.696527777778</v>
      </c>
      <c r="H474" s="1" t="s">
        <v>21</v>
      </c>
      <c r="I474" s="1" t="s">
        <v>22</v>
      </c>
      <c r="J474" s="1" t="s">
        <v>69</v>
      </c>
      <c r="L474" s="2">
        <v>3271.76</v>
      </c>
      <c r="M474" s="1" t="s">
        <v>0</v>
      </c>
    </row>
    <row r="475" spans="1:13" x14ac:dyDescent="0.2">
      <c r="A475" s="6" t="str">
        <f>VLOOKUP(J475,[1]Clientes!$C:$H,6,0)</f>
        <v>OUTROS</v>
      </c>
      <c r="B475" s="7">
        <f t="shared" si="10"/>
        <v>45223</v>
      </c>
      <c r="C475" s="1" t="s">
        <v>556</v>
      </c>
      <c r="D475" s="1" t="s">
        <v>183</v>
      </c>
      <c r="E475" s="1" t="s">
        <v>184</v>
      </c>
      <c r="F475" s="4">
        <v>45223.713194444441</v>
      </c>
      <c r="G475" s="4">
        <v>45223.713194444441</v>
      </c>
      <c r="H475" s="1" t="s">
        <v>21</v>
      </c>
      <c r="I475" s="1" t="s">
        <v>22</v>
      </c>
      <c r="J475" s="1" t="s">
        <v>234</v>
      </c>
      <c r="L475" s="2">
        <v>980</v>
      </c>
      <c r="M475" s="1" t="s">
        <v>4</v>
      </c>
    </row>
    <row r="476" spans="1:13" x14ac:dyDescent="0.2">
      <c r="A476" s="6" t="str">
        <f>VLOOKUP(J476,[1]Clientes!$C:$H,6,0)</f>
        <v>CBA</v>
      </c>
      <c r="B476" s="7">
        <f t="shared" si="10"/>
        <v>45223</v>
      </c>
      <c r="C476" s="1" t="s">
        <v>557</v>
      </c>
      <c r="D476" s="1" t="s">
        <v>183</v>
      </c>
      <c r="E476" s="1" t="s">
        <v>184</v>
      </c>
      <c r="F476" s="4">
        <v>45223.80972222222</v>
      </c>
      <c r="G476" s="4">
        <v>45223.80972222222</v>
      </c>
      <c r="H476" s="1" t="s">
        <v>21</v>
      </c>
      <c r="I476" s="1" t="s">
        <v>22</v>
      </c>
      <c r="J476" s="1" t="s">
        <v>69</v>
      </c>
      <c r="L476" s="2">
        <v>3033.63</v>
      </c>
      <c r="M476" s="1" t="s">
        <v>0</v>
      </c>
    </row>
    <row r="477" spans="1:13" x14ac:dyDescent="0.2">
      <c r="A477" s="6" t="str">
        <f>VLOOKUP(J477,[1]Clientes!$C:$H,6,0)</f>
        <v>CBA</v>
      </c>
      <c r="B477" s="7">
        <f t="shared" si="10"/>
        <v>45223</v>
      </c>
      <c r="C477" s="1" t="s">
        <v>558</v>
      </c>
      <c r="D477" s="1" t="s">
        <v>183</v>
      </c>
      <c r="E477" s="1" t="s">
        <v>184</v>
      </c>
      <c r="F477" s="4">
        <v>45223.876388888886</v>
      </c>
      <c r="G477" s="4">
        <v>45223.876388888886</v>
      </c>
      <c r="H477" s="1" t="s">
        <v>21</v>
      </c>
      <c r="I477" s="1" t="s">
        <v>22</v>
      </c>
      <c r="J477" s="1" t="s">
        <v>69</v>
      </c>
      <c r="L477" s="2">
        <v>3697.16</v>
      </c>
      <c r="M477" s="1" t="s">
        <v>0</v>
      </c>
    </row>
    <row r="478" spans="1:13" x14ac:dyDescent="0.2">
      <c r="A478" s="6" t="str">
        <f>VLOOKUP(J478,[1]Clientes!$C:$H,6,0)</f>
        <v>CBA</v>
      </c>
      <c r="B478" s="7">
        <f t="shared" si="10"/>
        <v>45223</v>
      </c>
      <c r="C478" s="1" t="s">
        <v>145</v>
      </c>
      <c r="D478" s="1" t="s">
        <v>19</v>
      </c>
      <c r="E478" s="1" t="s">
        <v>20</v>
      </c>
      <c r="F478" s="4">
        <v>45223.881249999999</v>
      </c>
      <c r="G478" s="4">
        <v>45223.881249999999</v>
      </c>
      <c r="H478" s="1" t="s">
        <v>21</v>
      </c>
      <c r="I478" s="1" t="s">
        <v>22</v>
      </c>
      <c r="J478" s="1" t="s">
        <v>69</v>
      </c>
      <c r="L478" s="2">
        <v>2670.7</v>
      </c>
      <c r="M478" s="1" t="s">
        <v>0</v>
      </c>
    </row>
    <row r="479" spans="1:13" x14ac:dyDescent="0.2">
      <c r="A479" s="6" t="str">
        <f>VLOOKUP(J479,[1]Clientes!$C:$H,6,0)</f>
        <v>CBA</v>
      </c>
      <c r="B479" s="7">
        <f t="shared" si="10"/>
        <v>45223</v>
      </c>
      <c r="C479" s="1" t="s">
        <v>559</v>
      </c>
      <c r="D479" s="1" t="s">
        <v>183</v>
      </c>
      <c r="E479" s="1" t="s">
        <v>184</v>
      </c>
      <c r="F479" s="4">
        <v>45223.922222222223</v>
      </c>
      <c r="G479" s="4">
        <v>45223.922222222223</v>
      </c>
      <c r="H479" s="1" t="s">
        <v>21</v>
      </c>
      <c r="I479" s="1" t="s">
        <v>22</v>
      </c>
      <c r="J479" s="1" t="s">
        <v>69</v>
      </c>
      <c r="L479" s="2">
        <v>3695.23</v>
      </c>
      <c r="M479" s="1" t="s">
        <v>0</v>
      </c>
    </row>
    <row r="480" spans="1:13" x14ac:dyDescent="0.2">
      <c r="A480" s="6" t="str">
        <f>VLOOKUP(J480,[1]Clientes!$C:$H,6,0)</f>
        <v>CBA</v>
      </c>
      <c r="B480" s="7">
        <f t="shared" si="10"/>
        <v>45223</v>
      </c>
      <c r="C480" s="1" t="s">
        <v>560</v>
      </c>
      <c r="D480" s="1" t="s">
        <v>183</v>
      </c>
      <c r="E480" s="1" t="s">
        <v>184</v>
      </c>
      <c r="F480" s="4">
        <v>45223.940972222219</v>
      </c>
      <c r="G480" s="4">
        <v>45223.940972222219</v>
      </c>
      <c r="H480" s="1" t="s">
        <v>21</v>
      </c>
      <c r="I480" s="1" t="s">
        <v>22</v>
      </c>
      <c r="J480" s="1" t="s">
        <v>69</v>
      </c>
      <c r="L480" s="2">
        <v>2706.02</v>
      </c>
      <c r="M480" s="1" t="s">
        <v>0</v>
      </c>
    </row>
    <row r="481" spans="1:13" x14ac:dyDescent="0.2">
      <c r="A481" s="6" t="str">
        <f>VLOOKUP(J481,[1]Clientes!$C:$H,6,0)</f>
        <v>CBA</v>
      </c>
      <c r="B481" s="7">
        <f t="shared" si="10"/>
        <v>45224</v>
      </c>
      <c r="C481" s="1" t="s">
        <v>146</v>
      </c>
      <c r="D481" s="1" t="s">
        <v>19</v>
      </c>
      <c r="E481" s="1" t="s">
        <v>20</v>
      </c>
      <c r="F481" s="4">
        <v>45224.302777777775</v>
      </c>
      <c r="G481" s="4">
        <v>45224.302777777775</v>
      </c>
      <c r="H481" s="1" t="s">
        <v>21</v>
      </c>
      <c r="I481" s="1" t="s">
        <v>22</v>
      </c>
      <c r="J481" s="1" t="s">
        <v>69</v>
      </c>
      <c r="L481" s="2">
        <v>2670.9</v>
      </c>
      <c r="M481" s="1" t="s">
        <v>0</v>
      </c>
    </row>
    <row r="482" spans="1:13" x14ac:dyDescent="0.2">
      <c r="A482" s="6" t="str">
        <f>VLOOKUP(J482,[1]Clientes!$C:$H,6,0)</f>
        <v>LANXESS</v>
      </c>
      <c r="B482" s="7">
        <f t="shared" si="10"/>
        <v>45224</v>
      </c>
      <c r="C482" s="1" t="s">
        <v>561</v>
      </c>
      <c r="D482" s="1" t="s">
        <v>183</v>
      </c>
      <c r="E482" s="1" t="s">
        <v>184</v>
      </c>
      <c r="F482" s="4">
        <v>45224.365972222222</v>
      </c>
      <c r="G482" s="4">
        <v>45224.365972222222</v>
      </c>
      <c r="H482" s="1" t="s">
        <v>21</v>
      </c>
      <c r="I482" s="1" t="s">
        <v>22</v>
      </c>
      <c r="J482" s="1" t="s">
        <v>221</v>
      </c>
      <c r="L482" s="2">
        <v>369.83</v>
      </c>
      <c r="M482" s="1" t="s">
        <v>648</v>
      </c>
    </row>
    <row r="483" spans="1:13" x14ac:dyDescent="0.2">
      <c r="A483" s="6" t="str">
        <f>VLOOKUP(J483,[1]Clientes!$C:$H,6,0)</f>
        <v>LANXESS</v>
      </c>
      <c r="B483" s="7">
        <f t="shared" si="10"/>
        <v>45224</v>
      </c>
      <c r="C483" s="1" t="s">
        <v>562</v>
      </c>
      <c r="D483" s="1" t="s">
        <v>183</v>
      </c>
      <c r="E483" s="1" t="s">
        <v>184</v>
      </c>
      <c r="F483" s="4">
        <v>45224.368055555555</v>
      </c>
      <c r="G483" s="4">
        <v>45224.368055555555</v>
      </c>
      <c r="H483" s="1" t="s">
        <v>21</v>
      </c>
      <c r="I483" s="1" t="s">
        <v>22</v>
      </c>
      <c r="J483" s="1" t="s">
        <v>221</v>
      </c>
      <c r="L483" s="2">
        <v>739.66</v>
      </c>
      <c r="M483" s="1" t="s">
        <v>648</v>
      </c>
    </row>
    <row r="484" spans="1:13" x14ac:dyDescent="0.2">
      <c r="A484" s="6" t="str">
        <f>VLOOKUP(J484,[1]Clientes!$C:$H,6,0)</f>
        <v>LANXESS</v>
      </c>
      <c r="B484" s="7">
        <f t="shared" si="10"/>
        <v>45224</v>
      </c>
      <c r="C484" s="1" t="s">
        <v>563</v>
      </c>
      <c r="D484" s="1" t="s">
        <v>183</v>
      </c>
      <c r="E484" s="1" t="s">
        <v>184</v>
      </c>
      <c r="F484" s="4">
        <v>45224.395138888889</v>
      </c>
      <c r="G484" s="4">
        <v>45224.395138888889</v>
      </c>
      <c r="H484" s="1" t="s">
        <v>21</v>
      </c>
      <c r="I484" s="1" t="s">
        <v>22</v>
      </c>
      <c r="J484" s="1" t="s">
        <v>200</v>
      </c>
      <c r="L484" s="2">
        <v>5322.39</v>
      </c>
      <c r="M484" s="1" t="s">
        <v>648</v>
      </c>
    </row>
    <row r="485" spans="1:13" x14ac:dyDescent="0.2">
      <c r="A485" s="6" t="str">
        <f>VLOOKUP(J485,[1]Clientes!$C:$H,6,0)</f>
        <v>CBA</v>
      </c>
      <c r="B485" s="7">
        <f t="shared" si="10"/>
        <v>45224</v>
      </c>
      <c r="C485" s="1" t="s">
        <v>564</v>
      </c>
      <c r="D485" s="1" t="s">
        <v>183</v>
      </c>
      <c r="E485" s="1" t="s">
        <v>184</v>
      </c>
      <c r="F485" s="4">
        <v>45224.44027777778</v>
      </c>
      <c r="G485" s="4">
        <v>45224.44027777778</v>
      </c>
      <c r="H485" s="1" t="s">
        <v>21</v>
      </c>
      <c r="I485" s="1" t="s">
        <v>22</v>
      </c>
      <c r="J485" s="1" t="s">
        <v>69</v>
      </c>
      <c r="L485" s="2">
        <v>1685.21</v>
      </c>
      <c r="M485" s="1" t="s">
        <v>0</v>
      </c>
    </row>
    <row r="486" spans="1:13" x14ac:dyDescent="0.2">
      <c r="A486" s="6" t="str">
        <f>VLOOKUP(J486,[1]Clientes!$C:$H,6,0)</f>
        <v>AMBEV</v>
      </c>
      <c r="B486" s="7">
        <f t="shared" si="10"/>
        <v>45224</v>
      </c>
      <c r="C486" s="1" t="s">
        <v>565</v>
      </c>
      <c r="D486" s="1" t="s">
        <v>183</v>
      </c>
      <c r="E486" s="1" t="s">
        <v>184</v>
      </c>
      <c r="F486" s="4">
        <v>45224.444444444445</v>
      </c>
      <c r="G486" s="4">
        <v>45224.444444444445</v>
      </c>
      <c r="H486" s="1" t="s">
        <v>21</v>
      </c>
      <c r="I486" s="1" t="s">
        <v>22</v>
      </c>
      <c r="J486" s="1" t="s">
        <v>513</v>
      </c>
      <c r="L486" s="2">
        <v>4428.82</v>
      </c>
      <c r="M486" s="1" t="s">
        <v>3</v>
      </c>
    </row>
    <row r="487" spans="1:13" x14ac:dyDescent="0.2">
      <c r="A487" s="6" t="str">
        <f>VLOOKUP(J487,[1]Clientes!$C:$H,6,0)</f>
        <v>CBA</v>
      </c>
      <c r="B487" s="7">
        <f t="shared" si="10"/>
        <v>45224</v>
      </c>
      <c r="C487" s="1" t="s">
        <v>566</v>
      </c>
      <c r="D487" s="1" t="s">
        <v>183</v>
      </c>
      <c r="E487" s="1" t="s">
        <v>184</v>
      </c>
      <c r="F487" s="4">
        <v>45224.518750000003</v>
      </c>
      <c r="G487" s="4">
        <v>45224.518750000003</v>
      </c>
      <c r="H487" s="1" t="s">
        <v>21</v>
      </c>
      <c r="I487" s="1" t="s">
        <v>22</v>
      </c>
      <c r="J487" s="1" t="s">
        <v>69</v>
      </c>
      <c r="L487" s="2">
        <v>3271.76</v>
      </c>
      <c r="M487" s="1" t="s">
        <v>0</v>
      </c>
    </row>
    <row r="488" spans="1:13" x14ac:dyDescent="0.2">
      <c r="A488" s="6" t="str">
        <f>VLOOKUP(J488,[1]Clientes!$C:$H,6,0)</f>
        <v>CBA</v>
      </c>
      <c r="B488" s="7">
        <f t="shared" si="10"/>
        <v>45224</v>
      </c>
      <c r="C488" s="1" t="s">
        <v>567</v>
      </c>
      <c r="D488" s="1" t="s">
        <v>183</v>
      </c>
      <c r="E488" s="1" t="s">
        <v>184</v>
      </c>
      <c r="F488" s="4">
        <v>45224.523611111108</v>
      </c>
      <c r="G488" s="4">
        <v>45224.523611111108</v>
      </c>
      <c r="H488" s="1" t="s">
        <v>21</v>
      </c>
      <c r="I488" s="1" t="s">
        <v>22</v>
      </c>
      <c r="J488" s="1" t="s">
        <v>69</v>
      </c>
      <c r="L488" s="2">
        <v>3271.83</v>
      </c>
      <c r="M488" s="1" t="s">
        <v>0</v>
      </c>
    </row>
    <row r="489" spans="1:13" x14ac:dyDescent="0.2">
      <c r="A489" s="6" t="str">
        <f>VLOOKUP(J489,[1]Clientes!$C:$H,6,0)</f>
        <v>CBA</v>
      </c>
      <c r="B489" s="7">
        <f t="shared" si="10"/>
        <v>45224</v>
      </c>
      <c r="C489" s="1" t="s">
        <v>568</v>
      </c>
      <c r="D489" s="1" t="s">
        <v>183</v>
      </c>
      <c r="E489" s="1" t="s">
        <v>184</v>
      </c>
      <c r="F489" s="4">
        <v>45224.531944444447</v>
      </c>
      <c r="G489" s="4">
        <v>45224.531944444447</v>
      </c>
      <c r="H489" s="1" t="s">
        <v>21</v>
      </c>
      <c r="I489" s="1" t="s">
        <v>22</v>
      </c>
      <c r="J489" s="1" t="s">
        <v>69</v>
      </c>
      <c r="L489" s="2">
        <v>3272.45</v>
      </c>
      <c r="M489" s="1" t="s">
        <v>0</v>
      </c>
    </row>
    <row r="490" spans="1:13" x14ac:dyDescent="0.2">
      <c r="A490" s="6" t="str">
        <f>VLOOKUP(J490,[1]Clientes!$C:$H,6,0)</f>
        <v>CBA</v>
      </c>
      <c r="B490" s="7">
        <f t="shared" si="10"/>
        <v>45224</v>
      </c>
      <c r="C490" s="1" t="s">
        <v>569</v>
      </c>
      <c r="D490" s="1" t="s">
        <v>183</v>
      </c>
      <c r="E490" s="1" t="s">
        <v>184</v>
      </c>
      <c r="F490" s="4">
        <v>45224.539583333331</v>
      </c>
      <c r="G490" s="4">
        <v>45224.539583333331</v>
      </c>
      <c r="H490" s="1" t="s">
        <v>21</v>
      </c>
      <c r="I490" s="1" t="s">
        <v>22</v>
      </c>
      <c r="J490" s="1" t="s">
        <v>69</v>
      </c>
      <c r="L490" s="2">
        <v>3272.2</v>
      </c>
      <c r="M490" s="1" t="s">
        <v>0</v>
      </c>
    </row>
    <row r="491" spans="1:13" x14ac:dyDescent="0.2">
      <c r="A491" s="6" t="str">
        <f>VLOOKUP(J491,[1]Clientes!$C:$H,6,0)</f>
        <v>CBA</v>
      </c>
      <c r="B491" s="7">
        <f t="shared" si="10"/>
        <v>45224</v>
      </c>
      <c r="C491" s="1" t="s">
        <v>570</v>
      </c>
      <c r="D491" s="1" t="s">
        <v>183</v>
      </c>
      <c r="E491" s="1" t="s">
        <v>184</v>
      </c>
      <c r="F491" s="4">
        <v>45224.542361111111</v>
      </c>
      <c r="G491" s="4">
        <v>45224.542361111111</v>
      </c>
      <c r="H491" s="1" t="s">
        <v>21</v>
      </c>
      <c r="I491" s="1" t="s">
        <v>22</v>
      </c>
      <c r="J491" s="1" t="s">
        <v>69</v>
      </c>
      <c r="L491" s="2">
        <v>3272.7</v>
      </c>
      <c r="M491" s="1" t="s">
        <v>0</v>
      </c>
    </row>
    <row r="492" spans="1:13" x14ac:dyDescent="0.2">
      <c r="A492" s="6" t="str">
        <f>VLOOKUP(J492,[1]Clientes!$C:$H,6,0)</f>
        <v>CBA</v>
      </c>
      <c r="B492" s="7">
        <f t="shared" si="10"/>
        <v>45224</v>
      </c>
      <c r="C492" s="1" t="s">
        <v>571</v>
      </c>
      <c r="D492" s="1" t="s">
        <v>183</v>
      </c>
      <c r="E492" s="1" t="s">
        <v>184</v>
      </c>
      <c r="F492" s="4">
        <v>45224.546527777777</v>
      </c>
      <c r="G492" s="4">
        <v>45224.546527777777</v>
      </c>
      <c r="H492" s="1" t="s">
        <v>21</v>
      </c>
      <c r="I492" s="1" t="s">
        <v>22</v>
      </c>
      <c r="J492" s="1" t="s">
        <v>69</v>
      </c>
      <c r="L492" s="2">
        <v>3272.83</v>
      </c>
      <c r="M492" s="1" t="s">
        <v>0</v>
      </c>
    </row>
    <row r="493" spans="1:13" x14ac:dyDescent="0.2">
      <c r="A493" s="6" t="str">
        <f>VLOOKUP(J493,[1]Clientes!$C:$H,6,0)</f>
        <v>CBA</v>
      </c>
      <c r="B493" s="7">
        <f t="shared" si="10"/>
        <v>45224</v>
      </c>
      <c r="C493" s="1" t="s">
        <v>572</v>
      </c>
      <c r="D493" s="1" t="s">
        <v>183</v>
      </c>
      <c r="E493" s="1" t="s">
        <v>184</v>
      </c>
      <c r="F493" s="4">
        <v>45224.556944444441</v>
      </c>
      <c r="G493" s="4">
        <v>45224.556944444441</v>
      </c>
      <c r="H493" s="1" t="s">
        <v>21</v>
      </c>
      <c r="I493" s="1" t="s">
        <v>22</v>
      </c>
      <c r="J493" s="1" t="s">
        <v>69</v>
      </c>
      <c r="L493" s="2">
        <v>1844.18</v>
      </c>
      <c r="M493" s="1" t="s">
        <v>0</v>
      </c>
    </row>
    <row r="494" spans="1:13" x14ac:dyDescent="0.2">
      <c r="A494" s="6" t="str">
        <f>VLOOKUP(J494,[1]Clientes!$C:$H,6,0)</f>
        <v>LANXESS</v>
      </c>
      <c r="B494" s="7">
        <f t="shared" si="10"/>
        <v>45224</v>
      </c>
      <c r="C494" s="1" t="s">
        <v>573</v>
      </c>
      <c r="D494" s="1" t="s">
        <v>183</v>
      </c>
      <c r="E494" s="1" t="s">
        <v>184</v>
      </c>
      <c r="F494" s="4">
        <v>45224.602083333331</v>
      </c>
      <c r="G494" s="4">
        <v>45224.602083333331</v>
      </c>
      <c r="H494" s="1" t="s">
        <v>21</v>
      </c>
      <c r="I494" s="1" t="s">
        <v>22</v>
      </c>
      <c r="J494" s="1" t="s">
        <v>221</v>
      </c>
      <c r="L494" s="2">
        <v>883.22</v>
      </c>
      <c r="M494" s="1" t="s">
        <v>648</v>
      </c>
    </row>
    <row r="495" spans="1:13" x14ac:dyDescent="0.2">
      <c r="A495" s="6" t="s">
        <v>1</v>
      </c>
      <c r="B495" s="7">
        <f t="shared" si="10"/>
        <v>45224</v>
      </c>
      <c r="C495" s="1" t="s">
        <v>147</v>
      </c>
      <c r="D495" s="1" t="s">
        <v>19</v>
      </c>
      <c r="E495" s="1" t="s">
        <v>20</v>
      </c>
      <c r="F495" s="4">
        <v>45224.640972222223</v>
      </c>
      <c r="G495" s="4">
        <v>45224.640972222223</v>
      </c>
      <c r="H495" s="1" t="s">
        <v>21</v>
      </c>
      <c r="I495" s="1" t="s">
        <v>22</v>
      </c>
      <c r="J495" s="1" t="s">
        <v>25</v>
      </c>
      <c r="L495" s="2">
        <v>279.91000000000003</v>
      </c>
      <c r="M495" s="1" t="s">
        <v>1</v>
      </c>
    </row>
    <row r="496" spans="1:13" x14ac:dyDescent="0.2">
      <c r="A496" s="6" t="s">
        <v>1</v>
      </c>
      <c r="B496" s="7">
        <f t="shared" si="10"/>
        <v>45224</v>
      </c>
      <c r="C496" s="1" t="s">
        <v>148</v>
      </c>
      <c r="D496" s="1" t="s">
        <v>19</v>
      </c>
      <c r="E496" s="1" t="s">
        <v>20</v>
      </c>
      <c r="F496" s="4">
        <v>45224.64166666667</v>
      </c>
      <c r="G496" s="4">
        <v>45224.64166666667</v>
      </c>
      <c r="H496" s="1" t="s">
        <v>21</v>
      </c>
      <c r="I496" s="1" t="s">
        <v>22</v>
      </c>
      <c r="J496" s="1" t="s">
        <v>25</v>
      </c>
      <c r="L496" s="2">
        <v>93.18</v>
      </c>
      <c r="M496" s="1" t="s">
        <v>1</v>
      </c>
    </row>
    <row r="497" spans="1:13" x14ac:dyDescent="0.2">
      <c r="A497" s="6" t="s">
        <v>1</v>
      </c>
      <c r="B497" s="7">
        <f t="shared" si="10"/>
        <v>45224</v>
      </c>
      <c r="C497" s="1" t="s">
        <v>149</v>
      </c>
      <c r="D497" s="1" t="s">
        <v>19</v>
      </c>
      <c r="E497" s="1" t="s">
        <v>20</v>
      </c>
      <c r="F497" s="4">
        <v>45224.642361111109</v>
      </c>
      <c r="G497" s="4">
        <v>45224.642361111109</v>
      </c>
      <c r="H497" s="1" t="s">
        <v>21</v>
      </c>
      <c r="I497" s="1" t="s">
        <v>22</v>
      </c>
      <c r="J497" s="1" t="s">
        <v>25</v>
      </c>
      <c r="L497" s="2">
        <v>83.86</v>
      </c>
      <c r="M497" s="1" t="s">
        <v>1</v>
      </c>
    </row>
    <row r="498" spans="1:13" x14ac:dyDescent="0.2">
      <c r="A498" s="6" t="s">
        <v>1</v>
      </c>
      <c r="B498" s="7">
        <f t="shared" si="10"/>
        <v>45224</v>
      </c>
      <c r="C498" s="1" t="s">
        <v>150</v>
      </c>
      <c r="D498" s="1" t="s">
        <v>19</v>
      </c>
      <c r="E498" s="1" t="s">
        <v>20</v>
      </c>
      <c r="F498" s="4">
        <v>45224.645138888889</v>
      </c>
      <c r="G498" s="4">
        <v>45224.645138888889</v>
      </c>
      <c r="H498" s="1" t="s">
        <v>21</v>
      </c>
      <c r="I498" s="1" t="s">
        <v>22</v>
      </c>
      <c r="J498" s="1" t="s">
        <v>25</v>
      </c>
      <c r="L498" s="2">
        <v>83.86</v>
      </c>
      <c r="M498" s="1" t="s">
        <v>1</v>
      </c>
    </row>
    <row r="499" spans="1:13" x14ac:dyDescent="0.2">
      <c r="A499" s="6" t="s">
        <v>1</v>
      </c>
      <c r="B499" s="7">
        <f t="shared" si="10"/>
        <v>45224</v>
      </c>
      <c r="C499" s="1" t="s">
        <v>151</v>
      </c>
      <c r="D499" s="1" t="s">
        <v>19</v>
      </c>
      <c r="E499" s="1" t="s">
        <v>20</v>
      </c>
      <c r="F499" s="4">
        <v>45224.645833333336</v>
      </c>
      <c r="G499" s="4">
        <v>45224.645833333336</v>
      </c>
      <c r="H499" s="1" t="s">
        <v>21</v>
      </c>
      <c r="I499" s="1" t="s">
        <v>22</v>
      </c>
      <c r="J499" s="1" t="s">
        <v>25</v>
      </c>
      <c r="L499" s="2">
        <v>270.35000000000002</v>
      </c>
      <c r="M499" s="1" t="s">
        <v>1</v>
      </c>
    </row>
    <row r="500" spans="1:13" x14ac:dyDescent="0.2">
      <c r="A500" s="6" t="s">
        <v>1</v>
      </c>
      <c r="B500" s="7">
        <f t="shared" si="10"/>
        <v>45224</v>
      </c>
      <c r="C500" s="1" t="s">
        <v>152</v>
      </c>
      <c r="D500" s="1" t="s">
        <v>19</v>
      </c>
      <c r="E500" s="1" t="s">
        <v>20</v>
      </c>
      <c r="F500" s="4">
        <v>45224.647222222222</v>
      </c>
      <c r="G500" s="4">
        <v>45224.647222222222</v>
      </c>
      <c r="H500" s="1" t="s">
        <v>21</v>
      </c>
      <c r="I500" s="1" t="s">
        <v>22</v>
      </c>
      <c r="J500" s="1" t="s">
        <v>25</v>
      </c>
      <c r="L500" s="2">
        <v>83.86</v>
      </c>
      <c r="M500" s="1" t="s">
        <v>1</v>
      </c>
    </row>
    <row r="501" spans="1:13" x14ac:dyDescent="0.2">
      <c r="A501" s="6" t="str">
        <f>VLOOKUP(J501,[1]Clientes!$C:$H,6,0)</f>
        <v>IMERYS</v>
      </c>
      <c r="B501" s="7">
        <f t="shared" si="10"/>
        <v>45224</v>
      </c>
      <c r="C501" s="1" t="s">
        <v>574</v>
      </c>
      <c r="D501" s="1" t="s">
        <v>183</v>
      </c>
      <c r="E501" s="1" t="s">
        <v>184</v>
      </c>
      <c r="F501" s="4">
        <v>45224.693055555559</v>
      </c>
      <c r="G501" s="4">
        <v>45224.693055555559</v>
      </c>
      <c r="H501" s="1" t="s">
        <v>21</v>
      </c>
      <c r="I501" s="1" t="s">
        <v>22</v>
      </c>
      <c r="J501" s="1" t="s">
        <v>188</v>
      </c>
      <c r="L501" s="2">
        <v>1448.86</v>
      </c>
      <c r="M501" s="1" t="s">
        <v>6</v>
      </c>
    </row>
    <row r="502" spans="1:13" x14ac:dyDescent="0.2">
      <c r="A502" s="6" t="str">
        <f>VLOOKUP(J502,[1]Clientes!$C:$H,6,0)</f>
        <v>IMERYS</v>
      </c>
      <c r="B502" s="7">
        <f t="shared" si="10"/>
        <v>45224</v>
      </c>
      <c r="C502" s="1" t="s">
        <v>575</v>
      </c>
      <c r="D502" s="1" t="s">
        <v>183</v>
      </c>
      <c r="E502" s="1" t="s">
        <v>184</v>
      </c>
      <c r="F502" s="4">
        <v>45224.710416666669</v>
      </c>
      <c r="G502" s="4">
        <v>45224.710416666669</v>
      </c>
      <c r="H502" s="1" t="s">
        <v>21</v>
      </c>
      <c r="I502" s="1" t="s">
        <v>22</v>
      </c>
      <c r="J502" s="1" t="s">
        <v>188</v>
      </c>
      <c r="L502" s="2">
        <v>1084.55</v>
      </c>
      <c r="M502" s="1" t="s">
        <v>6</v>
      </c>
    </row>
    <row r="503" spans="1:13" x14ac:dyDescent="0.2">
      <c r="A503" s="6" t="str">
        <f>VLOOKUP(J503,[1]Clientes!$C:$H,6,0)</f>
        <v>CBA</v>
      </c>
      <c r="B503" s="7">
        <f t="shared" ref="B503:B563" si="11">QUOTIENT(F503,1)</f>
        <v>45224</v>
      </c>
      <c r="C503" s="1" t="s">
        <v>576</v>
      </c>
      <c r="D503" s="1" t="s">
        <v>183</v>
      </c>
      <c r="E503" s="1" t="s">
        <v>184</v>
      </c>
      <c r="F503" s="4">
        <v>45224.802083333336</v>
      </c>
      <c r="G503" s="4">
        <v>45224.802083333336</v>
      </c>
      <c r="H503" s="1" t="s">
        <v>21</v>
      </c>
      <c r="I503" s="1" t="s">
        <v>22</v>
      </c>
      <c r="J503" s="1" t="s">
        <v>69</v>
      </c>
      <c r="L503" s="2">
        <v>1883.27</v>
      </c>
      <c r="M503" s="1" t="s">
        <v>0</v>
      </c>
    </row>
    <row r="504" spans="1:13" x14ac:dyDescent="0.2">
      <c r="A504" s="6" t="str">
        <f>VLOOKUP(J504,[1]Clientes!$C:$H,6,0)</f>
        <v>CBA</v>
      </c>
      <c r="B504" s="7">
        <f t="shared" si="11"/>
        <v>45224</v>
      </c>
      <c r="C504" s="1" t="s">
        <v>577</v>
      </c>
      <c r="D504" s="1" t="s">
        <v>183</v>
      </c>
      <c r="E504" s="1" t="s">
        <v>184</v>
      </c>
      <c r="F504" s="4">
        <v>45224.82708333333</v>
      </c>
      <c r="G504" s="4">
        <v>45224.82708333333</v>
      </c>
      <c r="H504" s="1" t="s">
        <v>21</v>
      </c>
      <c r="I504" s="1" t="s">
        <v>22</v>
      </c>
      <c r="J504" s="1" t="s">
        <v>69</v>
      </c>
      <c r="L504" s="2">
        <v>1895.09</v>
      </c>
      <c r="M504" s="1" t="s">
        <v>0</v>
      </c>
    </row>
    <row r="505" spans="1:13" x14ac:dyDescent="0.2">
      <c r="A505" s="6" t="str">
        <f>VLOOKUP(J505,[1]Clientes!$C:$H,6,0)</f>
        <v>IMERYS</v>
      </c>
      <c r="B505" s="7">
        <f t="shared" si="11"/>
        <v>45224</v>
      </c>
      <c r="C505" s="1" t="s">
        <v>578</v>
      </c>
      <c r="D505" s="1" t="s">
        <v>183</v>
      </c>
      <c r="E505" s="1" t="s">
        <v>184</v>
      </c>
      <c r="F505" s="4">
        <v>45224.855555555558</v>
      </c>
      <c r="G505" s="4">
        <v>45224.855555555558</v>
      </c>
      <c r="H505" s="1" t="s">
        <v>21</v>
      </c>
      <c r="I505" s="1" t="s">
        <v>22</v>
      </c>
      <c r="J505" s="1" t="s">
        <v>188</v>
      </c>
      <c r="L505" s="2">
        <v>1071.93</v>
      </c>
      <c r="M505" s="1" t="s">
        <v>6</v>
      </c>
    </row>
    <row r="506" spans="1:13" x14ac:dyDescent="0.2">
      <c r="A506" s="6" t="str">
        <f>VLOOKUP(J506,[1]Clientes!$C:$H,6,0)</f>
        <v>UNIPAR</v>
      </c>
      <c r="B506" s="7">
        <f t="shared" si="11"/>
        <v>45224</v>
      </c>
      <c r="C506" s="1" t="s">
        <v>579</v>
      </c>
      <c r="D506" s="1" t="s">
        <v>183</v>
      </c>
      <c r="E506" s="1" t="s">
        <v>184</v>
      </c>
      <c r="F506" s="4">
        <v>45224.871527777781</v>
      </c>
      <c r="G506" s="4">
        <v>45224.871527777781</v>
      </c>
      <c r="H506" s="1" t="s">
        <v>21</v>
      </c>
      <c r="I506" s="1" t="s">
        <v>22</v>
      </c>
      <c r="J506" s="1" t="s">
        <v>63</v>
      </c>
      <c r="L506" s="2">
        <v>2885.28</v>
      </c>
      <c r="M506" s="1" t="s">
        <v>647</v>
      </c>
    </row>
    <row r="507" spans="1:13" x14ac:dyDescent="0.2">
      <c r="A507" s="6" t="s">
        <v>1</v>
      </c>
      <c r="B507" s="7">
        <f t="shared" si="11"/>
        <v>45224</v>
      </c>
      <c r="C507" s="1" t="s">
        <v>153</v>
      </c>
      <c r="D507" s="1" t="s">
        <v>19</v>
      </c>
      <c r="E507" s="1" t="s">
        <v>20</v>
      </c>
      <c r="F507" s="4">
        <v>45224.880555555559</v>
      </c>
      <c r="G507" s="4">
        <v>45224.880555555559</v>
      </c>
      <c r="H507" s="1" t="s">
        <v>21</v>
      </c>
      <c r="I507" s="1" t="s">
        <v>22</v>
      </c>
      <c r="J507" s="1" t="s">
        <v>25</v>
      </c>
      <c r="L507" s="2">
        <v>1478.73</v>
      </c>
      <c r="M507" s="1" t="s">
        <v>1</v>
      </c>
    </row>
    <row r="508" spans="1:13" x14ac:dyDescent="0.2">
      <c r="A508" s="6" t="s">
        <v>1</v>
      </c>
      <c r="B508" s="7">
        <f t="shared" si="11"/>
        <v>45224</v>
      </c>
      <c r="C508" s="1" t="s">
        <v>154</v>
      </c>
      <c r="D508" s="1" t="s">
        <v>19</v>
      </c>
      <c r="E508" s="1" t="s">
        <v>20</v>
      </c>
      <c r="F508" s="4">
        <v>45224.886805555558</v>
      </c>
      <c r="G508" s="4">
        <v>45224.886805555558</v>
      </c>
      <c r="H508" s="1" t="s">
        <v>21</v>
      </c>
      <c r="I508" s="1" t="s">
        <v>22</v>
      </c>
      <c r="J508" s="1" t="s">
        <v>25</v>
      </c>
      <c r="L508" s="2">
        <v>2772.44</v>
      </c>
      <c r="M508" s="1" t="s">
        <v>1</v>
      </c>
    </row>
    <row r="509" spans="1:13" x14ac:dyDescent="0.2">
      <c r="A509" s="6" t="s">
        <v>1</v>
      </c>
      <c r="B509" s="7">
        <f t="shared" si="11"/>
        <v>45224</v>
      </c>
      <c r="C509" s="1" t="s">
        <v>155</v>
      </c>
      <c r="D509" s="1" t="s">
        <v>19</v>
      </c>
      <c r="E509" s="1" t="s">
        <v>20</v>
      </c>
      <c r="F509" s="4">
        <v>45224.888194444444</v>
      </c>
      <c r="G509" s="4">
        <v>45224.888194444444</v>
      </c>
      <c r="H509" s="1" t="s">
        <v>21</v>
      </c>
      <c r="I509" s="1" t="s">
        <v>22</v>
      </c>
      <c r="J509" s="1" t="s">
        <v>25</v>
      </c>
      <c r="L509" s="2">
        <v>2772.44</v>
      </c>
      <c r="M509" s="1" t="s">
        <v>1</v>
      </c>
    </row>
    <row r="510" spans="1:13" x14ac:dyDescent="0.2">
      <c r="A510" s="6" t="s">
        <v>1</v>
      </c>
      <c r="B510" s="7">
        <f t="shared" si="11"/>
        <v>45224</v>
      </c>
      <c r="C510" s="1" t="s">
        <v>156</v>
      </c>
      <c r="D510" s="1" t="s">
        <v>19</v>
      </c>
      <c r="E510" s="1" t="s">
        <v>20</v>
      </c>
      <c r="F510" s="4">
        <v>45224.88958333333</v>
      </c>
      <c r="G510" s="4">
        <v>45224.88958333333</v>
      </c>
      <c r="H510" s="1" t="s">
        <v>21</v>
      </c>
      <c r="I510" s="1" t="s">
        <v>22</v>
      </c>
      <c r="J510" s="1" t="s">
        <v>25</v>
      </c>
      <c r="L510" s="2">
        <v>3594.35</v>
      </c>
      <c r="M510" s="1" t="s">
        <v>1</v>
      </c>
    </row>
    <row r="511" spans="1:13" x14ac:dyDescent="0.2">
      <c r="A511" s="6" t="s">
        <v>1</v>
      </c>
      <c r="B511" s="7">
        <f t="shared" si="11"/>
        <v>45224</v>
      </c>
      <c r="C511" s="1" t="s">
        <v>157</v>
      </c>
      <c r="D511" s="1" t="s">
        <v>19</v>
      </c>
      <c r="E511" s="1" t="s">
        <v>20</v>
      </c>
      <c r="F511" s="4">
        <v>45224.893055555556</v>
      </c>
      <c r="G511" s="4">
        <v>45224.893055555556</v>
      </c>
      <c r="H511" s="1" t="s">
        <v>21</v>
      </c>
      <c r="I511" s="1" t="s">
        <v>22</v>
      </c>
      <c r="J511" s="1" t="s">
        <v>25</v>
      </c>
      <c r="L511" s="2">
        <v>3621.35</v>
      </c>
      <c r="M511" s="1" t="s">
        <v>1</v>
      </c>
    </row>
    <row r="512" spans="1:13" x14ac:dyDescent="0.2">
      <c r="A512" s="6" t="s">
        <v>1</v>
      </c>
      <c r="B512" s="7">
        <f t="shared" si="11"/>
        <v>45224</v>
      </c>
      <c r="C512" s="1" t="s">
        <v>158</v>
      </c>
      <c r="D512" s="1" t="s">
        <v>19</v>
      </c>
      <c r="E512" s="1" t="s">
        <v>20</v>
      </c>
      <c r="F512" s="4">
        <v>45224.894444444442</v>
      </c>
      <c r="G512" s="4">
        <v>45224.894444444442</v>
      </c>
      <c r="H512" s="1" t="s">
        <v>21</v>
      </c>
      <c r="I512" s="1" t="s">
        <v>22</v>
      </c>
      <c r="J512" s="1" t="s">
        <v>25</v>
      </c>
      <c r="L512" s="2">
        <v>1182.8499999999999</v>
      </c>
      <c r="M512" s="1" t="s">
        <v>1</v>
      </c>
    </row>
    <row r="513" spans="1:13" x14ac:dyDescent="0.2">
      <c r="A513" s="6" t="s">
        <v>1</v>
      </c>
      <c r="B513" s="7">
        <f t="shared" si="11"/>
        <v>45224</v>
      </c>
      <c r="C513" s="1" t="s">
        <v>159</v>
      </c>
      <c r="D513" s="1" t="s">
        <v>19</v>
      </c>
      <c r="E513" s="1" t="s">
        <v>20</v>
      </c>
      <c r="F513" s="4">
        <v>45224.897916666669</v>
      </c>
      <c r="G513" s="4">
        <v>45224.897916666669</v>
      </c>
      <c r="H513" s="1" t="s">
        <v>21</v>
      </c>
      <c r="I513" s="1" t="s">
        <v>22</v>
      </c>
      <c r="J513" s="1" t="s">
        <v>25</v>
      </c>
      <c r="L513" s="2">
        <v>1878.39</v>
      </c>
      <c r="M513" s="1" t="s">
        <v>1</v>
      </c>
    </row>
    <row r="514" spans="1:13" x14ac:dyDescent="0.2">
      <c r="A514" s="6" t="s">
        <v>1</v>
      </c>
      <c r="B514" s="7">
        <f t="shared" si="11"/>
        <v>45224</v>
      </c>
      <c r="C514" s="1" t="s">
        <v>160</v>
      </c>
      <c r="D514" s="1" t="s">
        <v>19</v>
      </c>
      <c r="E514" s="1" t="s">
        <v>20</v>
      </c>
      <c r="F514" s="4">
        <v>45224.900694444441</v>
      </c>
      <c r="G514" s="4">
        <v>45224.900694444441</v>
      </c>
      <c r="H514" s="1" t="s">
        <v>21</v>
      </c>
      <c r="I514" s="1" t="s">
        <v>22</v>
      </c>
      <c r="J514" s="1" t="s">
        <v>25</v>
      </c>
      <c r="L514" s="2">
        <v>2341.19</v>
      </c>
      <c r="M514" s="1" t="s">
        <v>1</v>
      </c>
    </row>
    <row r="515" spans="1:13" x14ac:dyDescent="0.2">
      <c r="A515" s="6" t="s">
        <v>1</v>
      </c>
      <c r="B515" s="7">
        <f t="shared" si="11"/>
        <v>45224</v>
      </c>
      <c r="C515" s="1" t="s">
        <v>161</v>
      </c>
      <c r="D515" s="1" t="s">
        <v>19</v>
      </c>
      <c r="E515" s="1" t="s">
        <v>20</v>
      </c>
      <c r="F515" s="4">
        <v>45224.901388888888</v>
      </c>
      <c r="G515" s="4">
        <v>45224.901388888888</v>
      </c>
      <c r="H515" s="1" t="s">
        <v>21</v>
      </c>
      <c r="I515" s="1" t="s">
        <v>22</v>
      </c>
      <c r="J515" s="1" t="s">
        <v>25</v>
      </c>
      <c r="L515" s="2">
        <v>2341.19</v>
      </c>
      <c r="M515" s="1" t="s">
        <v>1</v>
      </c>
    </row>
    <row r="516" spans="1:13" x14ac:dyDescent="0.2">
      <c r="A516" s="6" t="s">
        <v>1</v>
      </c>
      <c r="B516" s="7">
        <f t="shared" si="11"/>
        <v>45224</v>
      </c>
      <c r="C516" s="1" t="s">
        <v>162</v>
      </c>
      <c r="D516" s="1" t="s">
        <v>19</v>
      </c>
      <c r="E516" s="1" t="s">
        <v>20</v>
      </c>
      <c r="F516" s="4">
        <v>45224.902777777781</v>
      </c>
      <c r="G516" s="4">
        <v>45224.902777777781</v>
      </c>
      <c r="H516" s="1" t="s">
        <v>21</v>
      </c>
      <c r="I516" s="1" t="s">
        <v>22</v>
      </c>
      <c r="J516" s="1" t="s">
        <v>25</v>
      </c>
      <c r="L516" s="2">
        <v>2341.1799999999998</v>
      </c>
      <c r="M516" s="1" t="s">
        <v>1</v>
      </c>
    </row>
    <row r="517" spans="1:13" x14ac:dyDescent="0.2">
      <c r="A517" s="6" t="s">
        <v>1</v>
      </c>
      <c r="B517" s="7">
        <f t="shared" si="11"/>
        <v>45224</v>
      </c>
      <c r="C517" s="1" t="s">
        <v>163</v>
      </c>
      <c r="D517" s="1" t="s">
        <v>19</v>
      </c>
      <c r="E517" s="1" t="s">
        <v>20</v>
      </c>
      <c r="F517" s="4">
        <v>45224.90625</v>
      </c>
      <c r="G517" s="4">
        <v>45224.90625</v>
      </c>
      <c r="H517" s="1" t="s">
        <v>21</v>
      </c>
      <c r="I517" s="1" t="s">
        <v>22</v>
      </c>
      <c r="J517" s="1" t="s">
        <v>25</v>
      </c>
      <c r="L517" s="2">
        <v>2949.66</v>
      </c>
      <c r="M517" s="1" t="s">
        <v>1</v>
      </c>
    </row>
    <row r="518" spans="1:13" x14ac:dyDescent="0.2">
      <c r="A518" s="6" t="str">
        <f>VLOOKUP(J518,[1]Clientes!$C:$H,6,0)</f>
        <v>CBA</v>
      </c>
      <c r="B518" s="7">
        <f t="shared" si="11"/>
        <v>45224</v>
      </c>
      <c r="C518" s="1" t="s">
        <v>580</v>
      </c>
      <c r="D518" s="1" t="s">
        <v>183</v>
      </c>
      <c r="E518" s="1" t="s">
        <v>184</v>
      </c>
      <c r="F518" s="4">
        <v>45224.927083333336</v>
      </c>
      <c r="G518" s="4">
        <v>45224.927083333336</v>
      </c>
      <c r="H518" s="1" t="s">
        <v>21</v>
      </c>
      <c r="I518" s="1" t="s">
        <v>22</v>
      </c>
      <c r="J518" s="1" t="s">
        <v>69</v>
      </c>
      <c r="L518" s="2">
        <v>2910.39</v>
      </c>
      <c r="M518" s="1" t="s">
        <v>0</v>
      </c>
    </row>
    <row r="519" spans="1:13" x14ac:dyDescent="0.2">
      <c r="A519" s="6" t="str">
        <f>VLOOKUP(J519,[1]Clientes!$C:$H,6,0)</f>
        <v>OUTROS</v>
      </c>
      <c r="B519" s="7">
        <f t="shared" si="11"/>
        <v>45225</v>
      </c>
      <c r="C519" s="1" t="s">
        <v>581</v>
      </c>
      <c r="D519" s="1" t="s">
        <v>183</v>
      </c>
      <c r="E519" s="1" t="s">
        <v>184</v>
      </c>
      <c r="F519" s="4">
        <v>45225.375</v>
      </c>
      <c r="G519" s="4">
        <v>45225.375</v>
      </c>
      <c r="H519" s="1" t="s">
        <v>21</v>
      </c>
      <c r="I519" s="1" t="s">
        <v>22</v>
      </c>
      <c r="J519" s="1" t="s">
        <v>234</v>
      </c>
      <c r="L519" s="2">
        <v>980</v>
      </c>
      <c r="M519" s="1" t="s">
        <v>4</v>
      </c>
    </row>
    <row r="520" spans="1:13" x14ac:dyDescent="0.2">
      <c r="A520" s="6" t="str">
        <f>VLOOKUP(J520,[1]Clientes!$C:$H,6,0)</f>
        <v>LANXESS</v>
      </c>
      <c r="B520" s="7">
        <f t="shared" si="11"/>
        <v>45225</v>
      </c>
      <c r="C520" s="1" t="s">
        <v>582</v>
      </c>
      <c r="D520" s="1" t="s">
        <v>183</v>
      </c>
      <c r="E520" s="1" t="s">
        <v>184</v>
      </c>
      <c r="F520" s="4">
        <v>45225.398611111108</v>
      </c>
      <c r="G520" s="4">
        <v>45225.398611111108</v>
      </c>
      <c r="H520" s="1" t="s">
        <v>21</v>
      </c>
      <c r="I520" s="1" t="s">
        <v>22</v>
      </c>
      <c r="J520" s="1" t="s">
        <v>200</v>
      </c>
      <c r="L520" s="2">
        <v>777.17</v>
      </c>
      <c r="M520" s="1" t="s">
        <v>648</v>
      </c>
    </row>
    <row r="521" spans="1:13" x14ac:dyDescent="0.2">
      <c r="A521" s="6" t="str">
        <f>VLOOKUP(J521,[1]Clientes!$C:$H,6,0)</f>
        <v>CBA</v>
      </c>
      <c r="B521" s="7">
        <f t="shared" si="11"/>
        <v>45225</v>
      </c>
      <c r="C521" s="1" t="s">
        <v>583</v>
      </c>
      <c r="D521" s="1" t="s">
        <v>183</v>
      </c>
      <c r="E521" s="1" t="s">
        <v>184</v>
      </c>
      <c r="F521" s="4">
        <v>45225.405555555553</v>
      </c>
      <c r="G521" s="4">
        <v>45225.405555555553</v>
      </c>
      <c r="H521" s="1" t="s">
        <v>21</v>
      </c>
      <c r="I521" s="1" t="s">
        <v>22</v>
      </c>
      <c r="J521" s="1" t="s">
        <v>69</v>
      </c>
      <c r="L521" s="2">
        <v>1363.13</v>
      </c>
      <c r="M521" s="1" t="s">
        <v>0</v>
      </c>
    </row>
    <row r="522" spans="1:13" x14ac:dyDescent="0.2">
      <c r="A522" s="6" t="str">
        <f>VLOOKUP(J522,[1]Clientes!$C:$H,6,0)</f>
        <v>CBA</v>
      </c>
      <c r="B522" s="7">
        <f t="shared" si="11"/>
        <v>45225</v>
      </c>
      <c r="C522" s="1" t="s">
        <v>584</v>
      </c>
      <c r="D522" s="1" t="s">
        <v>183</v>
      </c>
      <c r="E522" s="1" t="s">
        <v>184</v>
      </c>
      <c r="F522" s="4">
        <v>45225.406944444447</v>
      </c>
      <c r="G522" s="4">
        <v>45225.406944444447</v>
      </c>
      <c r="H522" s="1" t="s">
        <v>21</v>
      </c>
      <c r="I522" s="1" t="s">
        <v>22</v>
      </c>
      <c r="J522" s="1" t="s">
        <v>69</v>
      </c>
      <c r="L522" s="2">
        <v>1363.13</v>
      </c>
      <c r="M522" s="1" t="s">
        <v>0</v>
      </c>
    </row>
    <row r="523" spans="1:13" x14ac:dyDescent="0.2">
      <c r="A523" s="6" t="str">
        <f>VLOOKUP(J523,[1]Clientes!$C:$H,6,0)</f>
        <v>VERDE FORTE</v>
      </c>
      <c r="B523" s="7">
        <f t="shared" si="11"/>
        <v>45225</v>
      </c>
      <c r="C523" s="1" t="s">
        <v>585</v>
      </c>
      <c r="D523" s="1" t="s">
        <v>183</v>
      </c>
      <c r="E523" s="1" t="s">
        <v>184</v>
      </c>
      <c r="F523" s="4">
        <v>45225.409722222219</v>
      </c>
      <c r="G523" s="4">
        <v>45225.409722222219</v>
      </c>
      <c r="H523" s="1" t="s">
        <v>21</v>
      </c>
      <c r="I523" s="1" t="s">
        <v>22</v>
      </c>
      <c r="J523" s="1" t="s">
        <v>27</v>
      </c>
      <c r="L523" s="2">
        <v>981.66</v>
      </c>
      <c r="M523" s="1" t="s">
        <v>2</v>
      </c>
    </row>
    <row r="524" spans="1:13" x14ac:dyDescent="0.2">
      <c r="A524" s="6" t="str">
        <f>VLOOKUP(J524,[1]Clientes!$C:$H,6,0)</f>
        <v>UNIPAR</v>
      </c>
      <c r="B524" s="7">
        <f t="shared" si="11"/>
        <v>45225</v>
      </c>
      <c r="C524" s="1" t="s">
        <v>586</v>
      </c>
      <c r="D524" s="1" t="s">
        <v>183</v>
      </c>
      <c r="E524" s="1" t="s">
        <v>184</v>
      </c>
      <c r="F524" s="4">
        <v>45225.440972222219</v>
      </c>
      <c r="G524" s="4">
        <v>45225.440972222219</v>
      </c>
      <c r="H524" s="1" t="s">
        <v>21</v>
      </c>
      <c r="I524" s="1" t="s">
        <v>22</v>
      </c>
      <c r="J524" s="1" t="s">
        <v>63</v>
      </c>
      <c r="L524" s="2">
        <v>3425.27</v>
      </c>
      <c r="M524" s="1" t="s">
        <v>647</v>
      </c>
    </row>
    <row r="525" spans="1:13" x14ac:dyDescent="0.2">
      <c r="A525" s="6" t="str">
        <f>VLOOKUP(J525,[1]Clientes!$C:$H,6,0)</f>
        <v>CBA</v>
      </c>
      <c r="B525" s="7">
        <f t="shared" si="11"/>
        <v>45225</v>
      </c>
      <c r="C525" s="1" t="s">
        <v>587</v>
      </c>
      <c r="D525" s="1" t="s">
        <v>183</v>
      </c>
      <c r="E525" s="1" t="s">
        <v>184</v>
      </c>
      <c r="F525" s="4">
        <v>45225.488888888889</v>
      </c>
      <c r="G525" s="4">
        <v>45225.488888888889</v>
      </c>
      <c r="H525" s="1" t="s">
        <v>21</v>
      </c>
      <c r="I525" s="1" t="s">
        <v>22</v>
      </c>
      <c r="J525" s="1" t="s">
        <v>69</v>
      </c>
      <c r="L525" s="2">
        <v>2913.67</v>
      </c>
      <c r="M525" s="1" t="s">
        <v>0</v>
      </c>
    </row>
    <row r="526" spans="1:13" x14ac:dyDescent="0.2">
      <c r="A526" s="6" t="str">
        <f>VLOOKUP(J526,[1]Clientes!$C:$H,6,0)</f>
        <v>CBA</v>
      </c>
      <c r="B526" s="7">
        <f t="shared" si="11"/>
        <v>45225</v>
      </c>
      <c r="C526" s="1" t="s">
        <v>588</v>
      </c>
      <c r="D526" s="1" t="s">
        <v>183</v>
      </c>
      <c r="E526" s="1" t="s">
        <v>184</v>
      </c>
      <c r="F526" s="4">
        <v>45225.567361111112</v>
      </c>
      <c r="G526" s="4">
        <v>45225.567361111112</v>
      </c>
      <c r="H526" s="1" t="s">
        <v>21</v>
      </c>
      <c r="I526" s="1" t="s">
        <v>22</v>
      </c>
      <c r="J526" s="1" t="s">
        <v>69</v>
      </c>
      <c r="L526" s="2">
        <v>3419.83</v>
      </c>
      <c r="M526" s="1" t="s">
        <v>0</v>
      </c>
    </row>
    <row r="527" spans="1:13" x14ac:dyDescent="0.2">
      <c r="A527" s="6" t="str">
        <f>VLOOKUP(J527,[1]Clientes!$C:$H,6,0)</f>
        <v>CBA</v>
      </c>
      <c r="B527" s="7">
        <f t="shared" si="11"/>
        <v>45225</v>
      </c>
      <c r="C527" s="1" t="s">
        <v>589</v>
      </c>
      <c r="D527" s="1" t="s">
        <v>183</v>
      </c>
      <c r="E527" s="1" t="s">
        <v>184</v>
      </c>
      <c r="F527" s="4">
        <v>45225.569444444445</v>
      </c>
      <c r="G527" s="4">
        <v>45225.569444444445</v>
      </c>
      <c r="H527" s="1" t="s">
        <v>21</v>
      </c>
      <c r="I527" s="1" t="s">
        <v>22</v>
      </c>
      <c r="J527" s="1" t="s">
        <v>69</v>
      </c>
      <c r="L527" s="2">
        <v>3419.75</v>
      </c>
      <c r="M527" s="1" t="s">
        <v>0</v>
      </c>
    </row>
    <row r="528" spans="1:13" x14ac:dyDescent="0.2">
      <c r="A528" s="6" t="str">
        <f>VLOOKUP(J528,[1]Clientes!$C:$H,6,0)</f>
        <v>CBA</v>
      </c>
      <c r="B528" s="7">
        <f t="shared" si="11"/>
        <v>45225</v>
      </c>
      <c r="C528" s="1" t="s">
        <v>590</v>
      </c>
      <c r="D528" s="1" t="s">
        <v>183</v>
      </c>
      <c r="E528" s="1" t="s">
        <v>184</v>
      </c>
      <c r="F528" s="4">
        <v>45225.59097222222</v>
      </c>
      <c r="G528" s="4">
        <v>45225.59097222222</v>
      </c>
      <c r="H528" s="1" t="s">
        <v>21</v>
      </c>
      <c r="I528" s="1" t="s">
        <v>22</v>
      </c>
      <c r="J528" s="1" t="s">
        <v>69</v>
      </c>
      <c r="L528" s="2">
        <v>1363.13</v>
      </c>
      <c r="M528" s="1" t="s">
        <v>0</v>
      </c>
    </row>
    <row r="529" spans="1:13" x14ac:dyDescent="0.2">
      <c r="A529" s="6" t="str">
        <f>VLOOKUP(J529,[1]Clientes!$C:$H,6,0)</f>
        <v>CBA</v>
      </c>
      <c r="B529" s="7">
        <f t="shared" si="11"/>
        <v>45225</v>
      </c>
      <c r="C529" s="1" t="s">
        <v>591</v>
      </c>
      <c r="D529" s="1" t="s">
        <v>183</v>
      </c>
      <c r="E529" s="1" t="s">
        <v>184</v>
      </c>
      <c r="F529" s="4">
        <v>45225.594444444447</v>
      </c>
      <c r="G529" s="4">
        <v>45225.594444444447</v>
      </c>
      <c r="H529" s="1" t="s">
        <v>21</v>
      </c>
      <c r="I529" s="1" t="s">
        <v>22</v>
      </c>
      <c r="J529" s="1" t="s">
        <v>69</v>
      </c>
      <c r="L529" s="2">
        <v>1363.13</v>
      </c>
      <c r="M529" s="1" t="s">
        <v>0</v>
      </c>
    </row>
    <row r="530" spans="1:13" x14ac:dyDescent="0.2">
      <c r="A530" s="6" t="s">
        <v>1</v>
      </c>
      <c r="B530" s="7">
        <f t="shared" si="11"/>
        <v>45225</v>
      </c>
      <c r="C530" s="1" t="s">
        <v>164</v>
      </c>
      <c r="D530" s="1" t="s">
        <v>19</v>
      </c>
      <c r="E530" s="1" t="s">
        <v>20</v>
      </c>
      <c r="F530" s="4">
        <v>45225.597916666666</v>
      </c>
      <c r="G530" s="4">
        <v>45225.597916666666</v>
      </c>
      <c r="H530" s="1" t="s">
        <v>21</v>
      </c>
      <c r="I530" s="1" t="s">
        <v>22</v>
      </c>
      <c r="J530" s="1" t="s">
        <v>25</v>
      </c>
      <c r="L530" s="2">
        <v>1471.55</v>
      </c>
      <c r="M530" s="1" t="s">
        <v>1</v>
      </c>
    </row>
    <row r="531" spans="1:13" x14ac:dyDescent="0.2">
      <c r="A531" s="6" t="s">
        <v>1</v>
      </c>
      <c r="B531" s="7">
        <f t="shared" si="11"/>
        <v>45225</v>
      </c>
      <c r="C531" s="1" t="s">
        <v>165</v>
      </c>
      <c r="D531" s="1" t="s">
        <v>19</v>
      </c>
      <c r="E531" s="1" t="s">
        <v>20</v>
      </c>
      <c r="F531" s="4">
        <v>45225.599999999999</v>
      </c>
      <c r="G531" s="4">
        <v>45225.599999999999</v>
      </c>
      <c r="H531" s="1" t="s">
        <v>21</v>
      </c>
      <c r="I531" s="1" t="s">
        <v>22</v>
      </c>
      <c r="J531" s="1" t="s">
        <v>25</v>
      </c>
      <c r="L531" s="2">
        <v>1471.55</v>
      </c>
      <c r="M531" s="1" t="s">
        <v>1</v>
      </c>
    </row>
    <row r="532" spans="1:13" x14ac:dyDescent="0.2">
      <c r="A532" s="6" t="s">
        <v>1</v>
      </c>
      <c r="B532" s="7">
        <f t="shared" si="11"/>
        <v>45225</v>
      </c>
      <c r="C532" s="1" t="s">
        <v>166</v>
      </c>
      <c r="D532" s="1" t="s">
        <v>19</v>
      </c>
      <c r="E532" s="1" t="s">
        <v>20</v>
      </c>
      <c r="F532" s="4">
        <v>45225.602777777778</v>
      </c>
      <c r="G532" s="4">
        <v>45225.602777777778</v>
      </c>
      <c r="H532" s="1" t="s">
        <v>21</v>
      </c>
      <c r="I532" s="1" t="s">
        <v>22</v>
      </c>
      <c r="J532" s="1" t="s">
        <v>25</v>
      </c>
      <c r="L532" s="2">
        <v>1471.55</v>
      </c>
      <c r="M532" s="1" t="s">
        <v>1</v>
      </c>
    </row>
    <row r="533" spans="1:13" x14ac:dyDescent="0.2">
      <c r="A533" s="6" t="s">
        <v>1</v>
      </c>
      <c r="B533" s="7">
        <f t="shared" si="11"/>
        <v>45225</v>
      </c>
      <c r="C533" s="1" t="s">
        <v>167</v>
      </c>
      <c r="D533" s="1" t="s">
        <v>19</v>
      </c>
      <c r="E533" s="1" t="s">
        <v>20</v>
      </c>
      <c r="F533" s="4">
        <v>45225.605555555558</v>
      </c>
      <c r="G533" s="4">
        <v>45225.605555555558</v>
      </c>
      <c r="H533" s="1" t="s">
        <v>21</v>
      </c>
      <c r="I533" s="1" t="s">
        <v>22</v>
      </c>
      <c r="J533" s="1" t="s">
        <v>25</v>
      </c>
      <c r="L533" s="2">
        <v>1471.55</v>
      </c>
      <c r="M533" s="1" t="s">
        <v>1</v>
      </c>
    </row>
    <row r="534" spans="1:13" x14ac:dyDescent="0.2">
      <c r="A534" s="6" t="s">
        <v>1</v>
      </c>
      <c r="B534" s="7">
        <f t="shared" si="11"/>
        <v>45225</v>
      </c>
      <c r="C534" s="1" t="s">
        <v>168</v>
      </c>
      <c r="D534" s="1" t="s">
        <v>19</v>
      </c>
      <c r="E534" s="1" t="s">
        <v>20</v>
      </c>
      <c r="F534" s="4">
        <v>45225.607638888891</v>
      </c>
      <c r="G534" s="4">
        <v>45225.607638888891</v>
      </c>
      <c r="H534" s="1" t="s">
        <v>21</v>
      </c>
      <c r="I534" s="1" t="s">
        <v>22</v>
      </c>
      <c r="J534" s="1" t="s">
        <v>25</v>
      </c>
      <c r="L534" s="2">
        <v>2222.1999999999998</v>
      </c>
      <c r="M534" s="1" t="s">
        <v>1</v>
      </c>
    </row>
    <row r="535" spans="1:13" x14ac:dyDescent="0.2">
      <c r="A535" s="6" t="s">
        <v>1</v>
      </c>
      <c r="B535" s="7">
        <f t="shared" si="11"/>
        <v>45225</v>
      </c>
      <c r="C535" s="1" t="s">
        <v>169</v>
      </c>
      <c r="D535" s="1" t="s">
        <v>19</v>
      </c>
      <c r="E535" s="1" t="s">
        <v>20</v>
      </c>
      <c r="F535" s="4">
        <v>45225.609722222223</v>
      </c>
      <c r="G535" s="4">
        <v>45225.609722222223</v>
      </c>
      <c r="H535" s="1" t="s">
        <v>21</v>
      </c>
      <c r="I535" s="1" t="s">
        <v>22</v>
      </c>
      <c r="J535" s="1" t="s">
        <v>25</v>
      </c>
      <c r="L535" s="2">
        <v>2222.1999999999998</v>
      </c>
      <c r="M535" s="1" t="s">
        <v>1</v>
      </c>
    </row>
    <row r="536" spans="1:13" x14ac:dyDescent="0.2">
      <c r="A536" s="6" t="s">
        <v>1</v>
      </c>
      <c r="B536" s="7">
        <f t="shared" si="11"/>
        <v>45225</v>
      </c>
      <c r="C536" s="1" t="s">
        <v>170</v>
      </c>
      <c r="D536" s="1" t="s">
        <v>19</v>
      </c>
      <c r="E536" s="1" t="s">
        <v>20</v>
      </c>
      <c r="F536" s="4">
        <v>45225.611805555556</v>
      </c>
      <c r="G536" s="4">
        <v>45225.611805555556</v>
      </c>
      <c r="H536" s="1" t="s">
        <v>21</v>
      </c>
      <c r="I536" s="1" t="s">
        <v>22</v>
      </c>
      <c r="J536" s="1" t="s">
        <v>25</v>
      </c>
      <c r="L536" s="2">
        <v>1266.72</v>
      </c>
      <c r="M536" s="1" t="s">
        <v>1</v>
      </c>
    </row>
    <row r="537" spans="1:13" x14ac:dyDescent="0.2">
      <c r="A537" s="6" t="str">
        <f>VLOOKUP(J537,[1]Clientes!$C:$H,6,0)</f>
        <v>IMERYS</v>
      </c>
      <c r="B537" s="7">
        <f t="shared" si="11"/>
        <v>45225</v>
      </c>
      <c r="C537" s="1" t="s">
        <v>592</v>
      </c>
      <c r="D537" s="1" t="s">
        <v>183</v>
      </c>
      <c r="E537" s="1" t="s">
        <v>184</v>
      </c>
      <c r="F537" s="4">
        <v>45225.638194444444</v>
      </c>
      <c r="G537" s="4">
        <v>45225.638194444444</v>
      </c>
      <c r="H537" s="1" t="s">
        <v>21</v>
      </c>
      <c r="I537" s="1" t="s">
        <v>22</v>
      </c>
      <c r="J537" s="1" t="s">
        <v>188</v>
      </c>
      <c r="L537" s="2">
        <v>1109.9000000000001</v>
      </c>
      <c r="M537" s="1" t="s">
        <v>6</v>
      </c>
    </row>
    <row r="538" spans="1:13" x14ac:dyDescent="0.2">
      <c r="A538" s="6" t="str">
        <f>VLOOKUP(J538,[1]Clientes!$C:$H,6,0)</f>
        <v>CBA</v>
      </c>
      <c r="B538" s="7">
        <f t="shared" si="11"/>
        <v>45225</v>
      </c>
      <c r="C538" s="1" t="s">
        <v>593</v>
      </c>
      <c r="D538" s="1" t="s">
        <v>183</v>
      </c>
      <c r="E538" s="1" t="s">
        <v>184</v>
      </c>
      <c r="F538" s="4">
        <v>45225.691666666666</v>
      </c>
      <c r="G538" s="4">
        <v>45225.691666666666</v>
      </c>
      <c r="H538" s="1" t="s">
        <v>21</v>
      </c>
      <c r="I538" s="1" t="s">
        <v>22</v>
      </c>
      <c r="J538" s="1" t="s">
        <v>69</v>
      </c>
      <c r="L538" s="2">
        <v>3327.41</v>
      </c>
      <c r="M538" s="1" t="s">
        <v>0</v>
      </c>
    </row>
    <row r="539" spans="1:13" x14ac:dyDescent="0.2">
      <c r="A539" s="6" t="str">
        <f>VLOOKUP(J539,[1]Clientes!$C:$H,6,0)</f>
        <v>CBA</v>
      </c>
      <c r="B539" s="7">
        <f t="shared" si="11"/>
        <v>45225</v>
      </c>
      <c r="C539" s="1" t="s">
        <v>594</v>
      </c>
      <c r="D539" s="1" t="s">
        <v>183</v>
      </c>
      <c r="E539" s="1" t="s">
        <v>184</v>
      </c>
      <c r="F539" s="4">
        <v>45225.70208333333</v>
      </c>
      <c r="G539" s="4">
        <v>45225.70208333333</v>
      </c>
      <c r="H539" s="1" t="s">
        <v>21</v>
      </c>
      <c r="I539" s="1" t="s">
        <v>22</v>
      </c>
      <c r="J539" s="1" t="s">
        <v>69</v>
      </c>
      <c r="L539" s="2">
        <v>3410.76</v>
      </c>
      <c r="M539" s="1" t="s">
        <v>0</v>
      </c>
    </row>
    <row r="540" spans="1:13" x14ac:dyDescent="0.2">
      <c r="A540" s="6" t="str">
        <f>VLOOKUP(J540,[1]Clientes!$C:$H,6,0)</f>
        <v>CBA</v>
      </c>
      <c r="B540" s="7">
        <f t="shared" si="11"/>
        <v>45225</v>
      </c>
      <c r="C540" s="1" t="s">
        <v>595</v>
      </c>
      <c r="D540" s="1" t="s">
        <v>183</v>
      </c>
      <c r="E540" s="1" t="s">
        <v>184</v>
      </c>
      <c r="F540" s="4">
        <v>45225.75</v>
      </c>
      <c r="G540" s="4">
        <v>45225.75</v>
      </c>
      <c r="H540" s="1" t="s">
        <v>21</v>
      </c>
      <c r="I540" s="1" t="s">
        <v>22</v>
      </c>
      <c r="J540" s="1" t="s">
        <v>69</v>
      </c>
      <c r="L540" s="2">
        <v>3327.15</v>
      </c>
      <c r="M540" s="1" t="s">
        <v>0</v>
      </c>
    </row>
    <row r="541" spans="1:13" x14ac:dyDescent="0.2">
      <c r="A541" s="6" t="s">
        <v>1</v>
      </c>
      <c r="B541" s="7">
        <f t="shared" si="11"/>
        <v>45225</v>
      </c>
      <c r="C541" s="1" t="s">
        <v>171</v>
      </c>
      <c r="D541" s="1" t="s">
        <v>19</v>
      </c>
      <c r="E541" s="1" t="s">
        <v>20</v>
      </c>
      <c r="F541" s="4">
        <v>45225.78125</v>
      </c>
      <c r="G541" s="4">
        <v>45225.78125</v>
      </c>
      <c r="H541" s="1" t="s">
        <v>21</v>
      </c>
      <c r="I541" s="1" t="s">
        <v>22</v>
      </c>
      <c r="J541" s="1" t="s">
        <v>25</v>
      </c>
      <c r="L541" s="2">
        <v>3595.53</v>
      </c>
      <c r="M541" s="1" t="s">
        <v>1</v>
      </c>
    </row>
    <row r="542" spans="1:13" x14ac:dyDescent="0.2">
      <c r="A542" s="6" t="str">
        <f>VLOOKUP(J542,[1]Clientes!$C:$H,6,0)</f>
        <v>CBA</v>
      </c>
      <c r="B542" s="7">
        <f t="shared" si="11"/>
        <v>45225</v>
      </c>
      <c r="C542" s="1" t="s">
        <v>596</v>
      </c>
      <c r="D542" s="1" t="s">
        <v>183</v>
      </c>
      <c r="E542" s="1" t="s">
        <v>184</v>
      </c>
      <c r="F542" s="4">
        <v>45225.791666666664</v>
      </c>
      <c r="G542" s="4">
        <v>45225.791666666664</v>
      </c>
      <c r="H542" s="1" t="s">
        <v>21</v>
      </c>
      <c r="I542" s="1" t="s">
        <v>22</v>
      </c>
      <c r="J542" s="1" t="s">
        <v>69</v>
      </c>
      <c r="L542" s="2">
        <v>3330.73</v>
      </c>
      <c r="M542" s="1" t="s">
        <v>0</v>
      </c>
    </row>
    <row r="543" spans="1:13" x14ac:dyDescent="0.2">
      <c r="A543" s="6" t="str">
        <f>VLOOKUP(J543,[1]Clientes!$C:$H,6,0)</f>
        <v>CBA</v>
      </c>
      <c r="B543" s="7">
        <f t="shared" si="11"/>
        <v>45225</v>
      </c>
      <c r="C543" s="1" t="s">
        <v>597</v>
      </c>
      <c r="D543" s="1" t="s">
        <v>183</v>
      </c>
      <c r="E543" s="1" t="s">
        <v>184</v>
      </c>
      <c r="F543" s="4">
        <v>45225.806944444441</v>
      </c>
      <c r="G543" s="4">
        <v>45225.806944444441</v>
      </c>
      <c r="H543" s="1" t="s">
        <v>21</v>
      </c>
      <c r="I543" s="1" t="s">
        <v>22</v>
      </c>
      <c r="J543" s="1" t="s">
        <v>69</v>
      </c>
      <c r="L543" s="2">
        <v>3331.46</v>
      </c>
      <c r="M543" s="1" t="s">
        <v>0</v>
      </c>
    </row>
    <row r="544" spans="1:13" x14ac:dyDescent="0.2">
      <c r="A544" s="6" t="str">
        <f>VLOOKUP(J544,[1]Clientes!$C:$H,6,0)</f>
        <v>CBA</v>
      </c>
      <c r="B544" s="7">
        <f t="shared" si="11"/>
        <v>45225</v>
      </c>
      <c r="C544" s="1" t="s">
        <v>598</v>
      </c>
      <c r="D544" s="1" t="s">
        <v>183</v>
      </c>
      <c r="E544" s="1" t="s">
        <v>184</v>
      </c>
      <c r="F544" s="4">
        <v>45225.832638888889</v>
      </c>
      <c r="G544" s="4">
        <v>45225.832638888889</v>
      </c>
      <c r="H544" s="1" t="s">
        <v>21</v>
      </c>
      <c r="I544" s="1" t="s">
        <v>22</v>
      </c>
      <c r="J544" s="1" t="s">
        <v>69</v>
      </c>
      <c r="L544" s="2">
        <v>3408.55</v>
      </c>
      <c r="M544" s="1" t="s">
        <v>0</v>
      </c>
    </row>
    <row r="545" spans="1:13" x14ac:dyDescent="0.2">
      <c r="A545" s="6" t="s">
        <v>1</v>
      </c>
      <c r="B545" s="7">
        <f t="shared" si="11"/>
        <v>45226</v>
      </c>
      <c r="C545" s="1" t="s">
        <v>172</v>
      </c>
      <c r="D545" s="1" t="s">
        <v>19</v>
      </c>
      <c r="E545" s="1" t="s">
        <v>20</v>
      </c>
      <c r="F545" s="4">
        <v>45226.304861111108</v>
      </c>
      <c r="G545" s="4">
        <v>45226.304861111108</v>
      </c>
      <c r="H545" s="1" t="s">
        <v>21</v>
      </c>
      <c r="I545" s="1" t="s">
        <v>22</v>
      </c>
      <c r="J545" s="1" t="s">
        <v>25</v>
      </c>
      <c r="L545" s="2">
        <v>2115.9</v>
      </c>
      <c r="M545" s="1" t="s">
        <v>1</v>
      </c>
    </row>
    <row r="546" spans="1:13" x14ac:dyDescent="0.2">
      <c r="A546" s="6" t="str">
        <f>VLOOKUP(J546,[1]Clientes!$C:$H,6,0)</f>
        <v>UNIPAR</v>
      </c>
      <c r="B546" s="7">
        <f t="shared" si="11"/>
        <v>45226</v>
      </c>
      <c r="C546" s="1" t="s">
        <v>173</v>
      </c>
      <c r="D546" s="1" t="s">
        <v>19</v>
      </c>
      <c r="E546" s="1" t="s">
        <v>20</v>
      </c>
      <c r="F546" s="4">
        <v>45226.393750000003</v>
      </c>
      <c r="G546" s="4">
        <v>45226.393750000003</v>
      </c>
      <c r="H546" s="1" t="s">
        <v>21</v>
      </c>
      <c r="I546" s="1" t="s">
        <v>22</v>
      </c>
      <c r="J546" s="1" t="s">
        <v>63</v>
      </c>
      <c r="L546" s="2">
        <v>7752.82</v>
      </c>
      <c r="M546" s="1" t="s">
        <v>647</v>
      </c>
    </row>
    <row r="547" spans="1:13" x14ac:dyDescent="0.2">
      <c r="A547" s="6" t="str">
        <f>VLOOKUP(J547,[1]Clientes!$C:$H,6,0)</f>
        <v>CBA</v>
      </c>
      <c r="B547" s="7">
        <f t="shared" si="11"/>
        <v>45226</v>
      </c>
      <c r="C547" s="1" t="s">
        <v>599</v>
      </c>
      <c r="D547" s="1" t="s">
        <v>183</v>
      </c>
      <c r="E547" s="1" t="s">
        <v>184</v>
      </c>
      <c r="F547" s="4">
        <v>45226.399305555555</v>
      </c>
      <c r="G547" s="4">
        <v>45226.399305555555</v>
      </c>
      <c r="H547" s="1" t="s">
        <v>21</v>
      </c>
      <c r="I547" s="1" t="s">
        <v>22</v>
      </c>
      <c r="J547" s="1" t="s">
        <v>69</v>
      </c>
      <c r="L547" s="2">
        <v>1913.3</v>
      </c>
      <c r="M547" s="1" t="s">
        <v>0</v>
      </c>
    </row>
    <row r="548" spans="1:13" x14ac:dyDescent="0.2">
      <c r="A548" s="6" t="str">
        <f>VLOOKUP(J548,[1]Clientes!$C:$H,6,0)</f>
        <v>CBA</v>
      </c>
      <c r="B548" s="7">
        <f t="shared" si="11"/>
        <v>45226</v>
      </c>
      <c r="C548" s="1" t="s">
        <v>174</v>
      </c>
      <c r="D548" s="1" t="s">
        <v>19</v>
      </c>
      <c r="E548" s="1" t="s">
        <v>20</v>
      </c>
      <c r="F548" s="4">
        <v>45226.424305555556</v>
      </c>
      <c r="G548" s="4">
        <v>45226.424305555556</v>
      </c>
      <c r="H548" s="1" t="s">
        <v>21</v>
      </c>
      <c r="I548" s="1" t="s">
        <v>22</v>
      </c>
      <c r="J548" s="1" t="s">
        <v>69</v>
      </c>
      <c r="L548" s="2">
        <v>3416.15</v>
      </c>
      <c r="M548" s="1" t="s">
        <v>0</v>
      </c>
    </row>
    <row r="549" spans="1:13" x14ac:dyDescent="0.2">
      <c r="A549" s="6" t="str">
        <f>VLOOKUP(J549,[1]Clientes!$C:$H,6,0)</f>
        <v>IMERYS</v>
      </c>
      <c r="B549" s="7">
        <f t="shared" si="11"/>
        <v>45226</v>
      </c>
      <c r="C549" s="1" t="s">
        <v>646</v>
      </c>
      <c r="D549" s="1" t="s">
        <v>643</v>
      </c>
      <c r="E549" s="1" t="s">
        <v>644</v>
      </c>
      <c r="F549" s="4">
        <v>45226.486111111109</v>
      </c>
      <c r="G549" s="4">
        <v>45226.486111111109</v>
      </c>
      <c r="H549" s="1" t="s">
        <v>21</v>
      </c>
      <c r="I549" s="1" t="s">
        <v>645</v>
      </c>
      <c r="J549" s="1" t="s">
        <v>188</v>
      </c>
      <c r="L549" s="2">
        <v>677.08</v>
      </c>
      <c r="M549" s="1" t="s">
        <v>6</v>
      </c>
    </row>
    <row r="550" spans="1:13" x14ac:dyDescent="0.2">
      <c r="A550" s="6" t="str">
        <f>VLOOKUP(J550,[1]Clientes!$C:$H,6,0)</f>
        <v>VERDE FORTE</v>
      </c>
      <c r="B550" s="7">
        <f t="shared" si="11"/>
        <v>45226</v>
      </c>
      <c r="C550" s="1" t="s">
        <v>600</v>
      </c>
      <c r="D550" s="1" t="s">
        <v>183</v>
      </c>
      <c r="E550" s="1" t="s">
        <v>184</v>
      </c>
      <c r="F550" s="4">
        <v>45226.49722222222</v>
      </c>
      <c r="G550" s="4">
        <v>45226.49722222222</v>
      </c>
      <c r="H550" s="1" t="s">
        <v>21</v>
      </c>
      <c r="I550" s="1" t="s">
        <v>22</v>
      </c>
      <c r="J550" s="1" t="s">
        <v>27</v>
      </c>
      <c r="L550" s="2">
        <v>3816</v>
      </c>
      <c r="M550" s="1" t="s">
        <v>2</v>
      </c>
    </row>
    <row r="551" spans="1:13" x14ac:dyDescent="0.2">
      <c r="A551" s="6" t="str">
        <f>VLOOKUP(J551,[1]Clientes!$C:$H,6,0)</f>
        <v>CBA</v>
      </c>
      <c r="B551" s="7">
        <f t="shared" si="11"/>
        <v>45226</v>
      </c>
      <c r="C551" s="1" t="s">
        <v>601</v>
      </c>
      <c r="D551" s="1" t="s">
        <v>183</v>
      </c>
      <c r="E551" s="1" t="s">
        <v>184</v>
      </c>
      <c r="F551" s="4">
        <v>45226.556250000001</v>
      </c>
      <c r="G551" s="4">
        <v>45226.556250000001</v>
      </c>
      <c r="H551" s="1" t="s">
        <v>21</v>
      </c>
      <c r="I551" s="1" t="s">
        <v>22</v>
      </c>
      <c r="J551" s="1" t="s">
        <v>69</v>
      </c>
      <c r="L551" s="2">
        <v>1906.92</v>
      </c>
      <c r="M551" s="1" t="s">
        <v>0</v>
      </c>
    </row>
    <row r="552" spans="1:13" x14ac:dyDescent="0.2">
      <c r="A552" s="6" t="str">
        <f>VLOOKUP(J552,[1]Clientes!$C:$H,6,0)</f>
        <v>IMERYS</v>
      </c>
      <c r="B552" s="7">
        <f t="shared" si="11"/>
        <v>45226</v>
      </c>
      <c r="C552" s="1" t="s">
        <v>602</v>
      </c>
      <c r="D552" s="1" t="s">
        <v>183</v>
      </c>
      <c r="E552" s="1" t="s">
        <v>184</v>
      </c>
      <c r="F552" s="4">
        <v>45226.568055555559</v>
      </c>
      <c r="G552" s="4">
        <v>45226.568055555559</v>
      </c>
      <c r="H552" s="1" t="s">
        <v>21</v>
      </c>
      <c r="I552" s="1" t="s">
        <v>22</v>
      </c>
      <c r="J552" s="1" t="s">
        <v>188</v>
      </c>
      <c r="L552" s="2">
        <v>1127.48</v>
      </c>
      <c r="M552" s="1" t="s">
        <v>6</v>
      </c>
    </row>
    <row r="553" spans="1:13" x14ac:dyDescent="0.2">
      <c r="A553" s="6" t="str">
        <f>VLOOKUP(J553,[1]Clientes!$C:$H,6,0)</f>
        <v>CBA</v>
      </c>
      <c r="B553" s="7">
        <f t="shared" si="11"/>
        <v>45226</v>
      </c>
      <c r="C553" s="1" t="s">
        <v>603</v>
      </c>
      <c r="D553" s="1" t="s">
        <v>183</v>
      </c>
      <c r="E553" s="1" t="s">
        <v>184</v>
      </c>
      <c r="F553" s="4">
        <v>45226.678472222222</v>
      </c>
      <c r="G553" s="4">
        <v>45226.678472222222</v>
      </c>
      <c r="H553" s="1" t="s">
        <v>21</v>
      </c>
      <c r="I553" s="1" t="s">
        <v>22</v>
      </c>
      <c r="J553" s="1" t="s">
        <v>69</v>
      </c>
      <c r="L553" s="2">
        <v>1688.3</v>
      </c>
      <c r="M553" s="1" t="s">
        <v>0</v>
      </c>
    </row>
    <row r="554" spans="1:13" x14ac:dyDescent="0.2">
      <c r="A554" s="6" t="str">
        <f>VLOOKUP(J554,[1]Clientes!$C:$H,6,0)</f>
        <v>IMERYS</v>
      </c>
      <c r="B554" s="7">
        <f t="shared" si="11"/>
        <v>45226</v>
      </c>
      <c r="C554" s="1" t="s">
        <v>604</v>
      </c>
      <c r="D554" s="1" t="s">
        <v>183</v>
      </c>
      <c r="E554" s="1" t="s">
        <v>184</v>
      </c>
      <c r="F554" s="4">
        <v>45226.691666666666</v>
      </c>
      <c r="G554" s="4">
        <v>45226.691666666666</v>
      </c>
      <c r="H554" s="1" t="s">
        <v>21</v>
      </c>
      <c r="I554" s="1" t="s">
        <v>22</v>
      </c>
      <c r="J554" s="1" t="s">
        <v>188</v>
      </c>
      <c r="L554" s="2">
        <v>695.76</v>
      </c>
      <c r="M554" s="1" t="s">
        <v>6</v>
      </c>
    </row>
    <row r="555" spans="1:13" x14ac:dyDescent="0.2">
      <c r="A555" s="6" t="str">
        <f>VLOOKUP(J555,[1]Clientes!$C:$H,6,0)</f>
        <v>CBA</v>
      </c>
      <c r="B555" s="7">
        <f t="shared" si="11"/>
        <v>45226</v>
      </c>
      <c r="C555" s="1" t="s">
        <v>605</v>
      </c>
      <c r="D555" s="1" t="s">
        <v>183</v>
      </c>
      <c r="E555" s="1" t="s">
        <v>184</v>
      </c>
      <c r="F555" s="4">
        <v>45226.7</v>
      </c>
      <c r="G555" s="4">
        <v>45226.7</v>
      </c>
      <c r="H555" s="1" t="s">
        <v>21</v>
      </c>
      <c r="I555" s="1" t="s">
        <v>22</v>
      </c>
      <c r="J555" s="1" t="s">
        <v>69</v>
      </c>
      <c r="L555" s="2">
        <v>5757.19</v>
      </c>
      <c r="M555" s="1" t="s">
        <v>0</v>
      </c>
    </row>
    <row r="556" spans="1:13" x14ac:dyDescent="0.2">
      <c r="A556" s="6" t="str">
        <f>VLOOKUP(J556,[1]Clientes!$C:$H,6,0)</f>
        <v>CBA</v>
      </c>
      <c r="B556" s="7">
        <f t="shared" si="11"/>
        <v>45226</v>
      </c>
      <c r="C556" s="1" t="s">
        <v>606</v>
      </c>
      <c r="D556" s="1" t="s">
        <v>183</v>
      </c>
      <c r="E556" s="1" t="s">
        <v>184</v>
      </c>
      <c r="F556" s="4">
        <v>45226.736111111109</v>
      </c>
      <c r="G556" s="4">
        <v>45226.736111111109</v>
      </c>
      <c r="H556" s="1" t="s">
        <v>21</v>
      </c>
      <c r="I556" s="1" t="s">
        <v>22</v>
      </c>
      <c r="J556" s="1" t="s">
        <v>69</v>
      </c>
      <c r="L556" s="2">
        <v>1697.8</v>
      </c>
      <c r="M556" s="1" t="s">
        <v>0</v>
      </c>
    </row>
    <row r="557" spans="1:13" x14ac:dyDescent="0.2">
      <c r="A557" s="6" t="str">
        <f>VLOOKUP(J557,[1]Clientes!$C:$H,6,0)</f>
        <v>CBA</v>
      </c>
      <c r="B557" s="7">
        <f t="shared" si="11"/>
        <v>45226</v>
      </c>
      <c r="C557" s="1" t="s">
        <v>607</v>
      </c>
      <c r="D557" s="1" t="s">
        <v>183</v>
      </c>
      <c r="E557" s="1" t="s">
        <v>184</v>
      </c>
      <c r="F557" s="4">
        <v>45226.813194444447</v>
      </c>
      <c r="G557" s="4">
        <v>45226.813194444447</v>
      </c>
      <c r="H557" s="1" t="s">
        <v>21</v>
      </c>
      <c r="I557" s="1" t="s">
        <v>22</v>
      </c>
      <c r="J557" s="1" t="s">
        <v>69</v>
      </c>
      <c r="L557" s="2">
        <v>5905.28</v>
      </c>
      <c r="M557" s="1" t="s">
        <v>0</v>
      </c>
    </row>
    <row r="558" spans="1:13" x14ac:dyDescent="0.2">
      <c r="A558" s="6" t="str">
        <f>VLOOKUP(J558,[1]Clientes!$C:$H,6,0)</f>
        <v>CBA</v>
      </c>
      <c r="B558" s="7">
        <f t="shared" si="11"/>
        <v>45226</v>
      </c>
      <c r="C558" s="1" t="s">
        <v>608</v>
      </c>
      <c r="D558" s="1" t="s">
        <v>183</v>
      </c>
      <c r="E558" s="1" t="s">
        <v>184</v>
      </c>
      <c r="F558" s="4">
        <v>45226.905555555553</v>
      </c>
      <c r="G558" s="4">
        <v>45226.905555555553</v>
      </c>
      <c r="H558" s="1" t="s">
        <v>21</v>
      </c>
      <c r="I558" s="1" t="s">
        <v>22</v>
      </c>
      <c r="J558" s="1" t="s">
        <v>69</v>
      </c>
      <c r="L558" s="2">
        <v>1906.9</v>
      </c>
      <c r="M558" s="1" t="s">
        <v>0</v>
      </c>
    </row>
    <row r="559" spans="1:13" x14ac:dyDescent="0.2">
      <c r="A559" s="6" t="str">
        <f>VLOOKUP(J559,[1]Clientes!$C:$H,6,0)</f>
        <v>CBA</v>
      </c>
      <c r="B559" s="7">
        <f t="shared" si="11"/>
        <v>45226</v>
      </c>
      <c r="C559" s="1" t="s">
        <v>609</v>
      </c>
      <c r="D559" s="1" t="s">
        <v>183</v>
      </c>
      <c r="E559" s="1" t="s">
        <v>184</v>
      </c>
      <c r="F559" s="4">
        <v>45226.924305555556</v>
      </c>
      <c r="G559" s="4">
        <v>45226.924305555556</v>
      </c>
      <c r="H559" s="1" t="s">
        <v>21</v>
      </c>
      <c r="I559" s="1" t="s">
        <v>22</v>
      </c>
      <c r="J559" s="1" t="s">
        <v>69</v>
      </c>
      <c r="L559" s="2">
        <v>1725.28</v>
      </c>
      <c r="M559" s="1" t="s">
        <v>0</v>
      </c>
    </row>
    <row r="560" spans="1:13" x14ac:dyDescent="0.2">
      <c r="A560" s="6" t="str">
        <f>VLOOKUP(J560,[1]Clientes!$C:$H,6,0)</f>
        <v>CBA</v>
      </c>
      <c r="B560" s="7">
        <f t="shared" si="11"/>
        <v>45227</v>
      </c>
      <c r="C560" s="1" t="s">
        <v>610</v>
      </c>
      <c r="D560" s="1" t="s">
        <v>183</v>
      </c>
      <c r="E560" s="1" t="s">
        <v>184</v>
      </c>
      <c r="F560" s="4">
        <v>45227.40625</v>
      </c>
      <c r="G560" s="4">
        <v>45227.40625</v>
      </c>
      <c r="H560" s="1" t="s">
        <v>21</v>
      </c>
      <c r="I560" s="1" t="s">
        <v>22</v>
      </c>
      <c r="J560" s="1" t="s">
        <v>69</v>
      </c>
      <c r="L560" s="2">
        <v>3590.55</v>
      </c>
      <c r="M560" s="1" t="s">
        <v>0</v>
      </c>
    </row>
    <row r="561" spans="1:13" x14ac:dyDescent="0.2">
      <c r="A561" s="6" t="str">
        <f>VLOOKUP(J561,[1]Clientes!$C:$H,6,0)</f>
        <v>CBA</v>
      </c>
      <c r="B561" s="7">
        <f t="shared" si="11"/>
        <v>45227</v>
      </c>
      <c r="C561" s="1" t="s">
        <v>611</v>
      </c>
      <c r="D561" s="1" t="s">
        <v>183</v>
      </c>
      <c r="E561" s="1" t="s">
        <v>184</v>
      </c>
      <c r="F561" s="4">
        <v>45227.406944444447</v>
      </c>
      <c r="G561" s="4">
        <v>45227.406944444447</v>
      </c>
      <c r="H561" s="1" t="s">
        <v>21</v>
      </c>
      <c r="I561" s="1" t="s">
        <v>22</v>
      </c>
      <c r="J561" s="1" t="s">
        <v>69</v>
      </c>
      <c r="L561" s="2">
        <v>3591.8</v>
      </c>
      <c r="M561" s="1" t="s">
        <v>0</v>
      </c>
    </row>
    <row r="562" spans="1:13" x14ac:dyDescent="0.2">
      <c r="A562" s="6" t="str">
        <f>VLOOKUP(J562,[1]Clientes!$C:$H,6,0)</f>
        <v>CBA</v>
      </c>
      <c r="B562" s="7">
        <f t="shared" si="11"/>
        <v>45227</v>
      </c>
      <c r="C562" s="1" t="s">
        <v>612</v>
      </c>
      <c r="D562" s="1" t="s">
        <v>183</v>
      </c>
      <c r="E562" s="1" t="s">
        <v>184</v>
      </c>
      <c r="F562" s="4">
        <v>45227.427083333336</v>
      </c>
      <c r="G562" s="4">
        <v>45227.427083333336</v>
      </c>
      <c r="H562" s="1" t="s">
        <v>21</v>
      </c>
      <c r="I562" s="1" t="s">
        <v>22</v>
      </c>
      <c r="J562" s="1" t="s">
        <v>69</v>
      </c>
      <c r="L562" s="2">
        <v>3589.01</v>
      </c>
      <c r="M562" s="1" t="s">
        <v>0</v>
      </c>
    </row>
    <row r="563" spans="1:13" x14ac:dyDescent="0.2">
      <c r="A563" s="6" t="str">
        <f>VLOOKUP(J563,[1]Clientes!$C:$H,6,0)</f>
        <v>CBA</v>
      </c>
      <c r="B563" s="7">
        <f t="shared" si="11"/>
        <v>45227</v>
      </c>
      <c r="C563" s="1" t="s">
        <v>613</v>
      </c>
      <c r="D563" s="1" t="s">
        <v>183</v>
      </c>
      <c r="E563" s="1" t="s">
        <v>184</v>
      </c>
      <c r="F563" s="4">
        <v>45227.474305555559</v>
      </c>
      <c r="G563" s="4">
        <v>45227.474305555559</v>
      </c>
      <c r="H563" s="1" t="s">
        <v>21</v>
      </c>
      <c r="I563" s="1" t="s">
        <v>22</v>
      </c>
      <c r="J563" s="1" t="s">
        <v>69</v>
      </c>
      <c r="L563" s="2">
        <v>2696.65</v>
      </c>
      <c r="M563" s="1" t="s">
        <v>0</v>
      </c>
    </row>
    <row r="564" spans="1:13" x14ac:dyDescent="0.2">
      <c r="A564" s="6" t="str">
        <f>VLOOKUP(J564,[1]Clientes!$C:$H,6,0)</f>
        <v>CBA</v>
      </c>
      <c r="B564" s="7">
        <f t="shared" ref="B564:B628" si="12">QUOTIENT(F564,1)</f>
        <v>45227</v>
      </c>
      <c r="C564" s="1" t="s">
        <v>614</v>
      </c>
      <c r="D564" s="1" t="s">
        <v>183</v>
      </c>
      <c r="E564" s="1" t="s">
        <v>184</v>
      </c>
      <c r="F564" s="4">
        <v>45227.688888888886</v>
      </c>
      <c r="G564" s="4">
        <v>45227.688888888886</v>
      </c>
      <c r="H564" s="1" t="s">
        <v>21</v>
      </c>
      <c r="I564" s="1" t="s">
        <v>22</v>
      </c>
      <c r="J564" s="1" t="s">
        <v>69</v>
      </c>
      <c r="L564" s="2">
        <v>2913.58</v>
      </c>
      <c r="M564" s="1" t="s">
        <v>0</v>
      </c>
    </row>
    <row r="565" spans="1:13" x14ac:dyDescent="0.2">
      <c r="A565" s="6" t="str">
        <f>VLOOKUP(J565,[1]Clientes!$C:$H,6,0)</f>
        <v>CBA</v>
      </c>
      <c r="B565" s="7">
        <f t="shared" si="12"/>
        <v>45227</v>
      </c>
      <c r="C565" s="1" t="s">
        <v>615</v>
      </c>
      <c r="D565" s="1" t="s">
        <v>183</v>
      </c>
      <c r="E565" s="1" t="s">
        <v>184</v>
      </c>
      <c r="F565" s="4">
        <v>45227.756249999999</v>
      </c>
      <c r="G565" s="4">
        <v>45227.756249999999</v>
      </c>
      <c r="H565" s="1" t="s">
        <v>21</v>
      </c>
      <c r="I565" s="1" t="s">
        <v>22</v>
      </c>
      <c r="J565" s="1" t="s">
        <v>69</v>
      </c>
      <c r="L565" s="2">
        <v>2702.91</v>
      </c>
      <c r="M565" s="1" t="s">
        <v>0</v>
      </c>
    </row>
    <row r="566" spans="1:13" x14ac:dyDescent="0.2">
      <c r="A566" s="6" t="str">
        <f>VLOOKUP(J566,[1]Clientes!$C:$H,6,0)</f>
        <v>CBA</v>
      </c>
      <c r="B566" s="7">
        <f t="shared" si="12"/>
        <v>45227</v>
      </c>
      <c r="C566" s="1" t="s">
        <v>616</v>
      </c>
      <c r="D566" s="1" t="s">
        <v>183</v>
      </c>
      <c r="E566" s="1" t="s">
        <v>184</v>
      </c>
      <c r="F566" s="4">
        <v>45227.759027777778</v>
      </c>
      <c r="G566" s="4">
        <v>45227.759027777778</v>
      </c>
      <c r="H566" s="1" t="s">
        <v>21</v>
      </c>
      <c r="I566" s="1" t="s">
        <v>22</v>
      </c>
      <c r="J566" s="1" t="s">
        <v>69</v>
      </c>
      <c r="L566" s="2">
        <v>3223.42</v>
      </c>
      <c r="M566" s="1" t="s">
        <v>0</v>
      </c>
    </row>
    <row r="567" spans="1:13" x14ac:dyDescent="0.2">
      <c r="A567" s="6" t="str">
        <f>VLOOKUP(J567,[1]Clientes!$C:$H,6,0)</f>
        <v>CBA</v>
      </c>
      <c r="B567" s="7">
        <f t="shared" si="12"/>
        <v>45227</v>
      </c>
      <c r="C567" s="1" t="s">
        <v>175</v>
      </c>
      <c r="D567" s="1" t="s">
        <v>19</v>
      </c>
      <c r="E567" s="1" t="s">
        <v>20</v>
      </c>
      <c r="F567" s="4">
        <v>45227.799305555556</v>
      </c>
      <c r="G567" s="4">
        <v>45227.799305555556</v>
      </c>
      <c r="H567" s="1" t="s">
        <v>21</v>
      </c>
      <c r="I567" s="1" t="s">
        <v>22</v>
      </c>
      <c r="J567" s="1" t="s">
        <v>69</v>
      </c>
      <c r="L567" s="2">
        <v>3700.08</v>
      </c>
      <c r="M567" s="1" t="s">
        <v>0</v>
      </c>
    </row>
    <row r="568" spans="1:13" x14ac:dyDescent="0.2">
      <c r="A568" s="6" t="str">
        <f>VLOOKUP(J568,[1]Clientes!$C:$H,6,0)</f>
        <v>CBA</v>
      </c>
      <c r="B568" s="7">
        <f t="shared" si="12"/>
        <v>45229</v>
      </c>
      <c r="C568" s="1" t="s">
        <v>617</v>
      </c>
      <c r="D568" s="1" t="s">
        <v>183</v>
      </c>
      <c r="E568" s="1" t="s">
        <v>184</v>
      </c>
      <c r="F568" s="4">
        <v>45229.314583333333</v>
      </c>
      <c r="G568" s="4">
        <v>45229.314583333333</v>
      </c>
      <c r="H568" s="1" t="s">
        <v>21</v>
      </c>
      <c r="I568" s="1" t="s">
        <v>22</v>
      </c>
      <c r="J568" s="1" t="s">
        <v>69</v>
      </c>
      <c r="L568" s="2">
        <v>3418.63</v>
      </c>
      <c r="M568" s="1" t="s">
        <v>0</v>
      </c>
    </row>
    <row r="569" spans="1:13" x14ac:dyDescent="0.2">
      <c r="A569" s="6" t="str">
        <f>VLOOKUP(J569,[1]Clientes!$C:$H,6,0)</f>
        <v>CBA</v>
      </c>
      <c r="B569" s="7">
        <f t="shared" si="12"/>
        <v>45229</v>
      </c>
      <c r="C569" s="1" t="s">
        <v>618</v>
      </c>
      <c r="D569" s="1" t="s">
        <v>183</v>
      </c>
      <c r="E569" s="1" t="s">
        <v>184</v>
      </c>
      <c r="F569" s="4">
        <v>45229.424305555556</v>
      </c>
      <c r="G569" s="4">
        <v>45229.424305555556</v>
      </c>
      <c r="H569" s="1" t="s">
        <v>21</v>
      </c>
      <c r="I569" s="1" t="s">
        <v>22</v>
      </c>
      <c r="J569" s="1" t="s">
        <v>69</v>
      </c>
      <c r="L569" s="2">
        <v>3421.36</v>
      </c>
      <c r="M569" s="1" t="s">
        <v>0</v>
      </c>
    </row>
    <row r="570" spans="1:13" x14ac:dyDescent="0.2">
      <c r="A570" s="6" t="str">
        <f>VLOOKUP(J570,[1]Clientes!$C:$H,6,0)</f>
        <v>UNIPAR</v>
      </c>
      <c r="B570" s="7">
        <f t="shared" si="12"/>
        <v>45229</v>
      </c>
      <c r="C570" s="1" t="s">
        <v>619</v>
      </c>
      <c r="D570" s="1" t="s">
        <v>183</v>
      </c>
      <c r="E570" s="1" t="s">
        <v>184</v>
      </c>
      <c r="F570" s="4">
        <v>45229.43472222222</v>
      </c>
      <c r="G570" s="4">
        <v>45229.43472222222</v>
      </c>
      <c r="H570" s="1" t="s">
        <v>21</v>
      </c>
      <c r="I570" s="1" t="s">
        <v>22</v>
      </c>
      <c r="J570" s="1" t="s">
        <v>63</v>
      </c>
      <c r="L570" s="2">
        <v>3223.33</v>
      </c>
      <c r="M570" s="1" t="s">
        <v>647</v>
      </c>
    </row>
    <row r="571" spans="1:13" x14ac:dyDescent="0.2">
      <c r="A571" s="6" t="s">
        <v>1</v>
      </c>
      <c r="B571" s="7">
        <f t="shared" si="12"/>
        <v>45229</v>
      </c>
      <c r="C571" s="1" t="s">
        <v>176</v>
      </c>
      <c r="D571" s="1" t="s">
        <v>19</v>
      </c>
      <c r="E571" s="1" t="s">
        <v>20</v>
      </c>
      <c r="F571" s="4">
        <v>45229.50277777778</v>
      </c>
      <c r="G571" s="4">
        <v>45229.50277777778</v>
      </c>
      <c r="H571" s="1" t="s">
        <v>21</v>
      </c>
      <c r="I571" s="1" t="s">
        <v>22</v>
      </c>
      <c r="J571" s="1" t="s">
        <v>25</v>
      </c>
      <c r="L571" s="2">
        <v>1907.84</v>
      </c>
      <c r="M571" s="1" t="s">
        <v>1</v>
      </c>
    </row>
    <row r="572" spans="1:13" x14ac:dyDescent="0.2">
      <c r="A572" s="6" t="s">
        <v>1</v>
      </c>
      <c r="B572" s="7">
        <f t="shared" si="12"/>
        <v>45229</v>
      </c>
      <c r="C572" s="1" t="s">
        <v>177</v>
      </c>
      <c r="D572" s="1" t="s">
        <v>19</v>
      </c>
      <c r="E572" s="1" t="s">
        <v>20</v>
      </c>
      <c r="F572" s="4">
        <v>45229.513888888891</v>
      </c>
      <c r="G572" s="4">
        <v>45229.513888888891</v>
      </c>
      <c r="H572" s="1" t="s">
        <v>21</v>
      </c>
      <c r="I572" s="1" t="s">
        <v>22</v>
      </c>
      <c r="J572" s="1" t="s">
        <v>25</v>
      </c>
      <c r="L572" s="2">
        <v>2137.85</v>
      </c>
      <c r="M572" s="1" t="s">
        <v>1</v>
      </c>
    </row>
    <row r="573" spans="1:13" x14ac:dyDescent="0.2">
      <c r="A573" s="6" t="str">
        <f>VLOOKUP(J573,[1]Clientes!$C:$H,6,0)</f>
        <v>LANXESS</v>
      </c>
      <c r="B573" s="7">
        <f t="shared" si="12"/>
        <v>45229</v>
      </c>
      <c r="C573" s="1" t="s">
        <v>620</v>
      </c>
      <c r="D573" s="1" t="s">
        <v>183</v>
      </c>
      <c r="E573" s="1" t="s">
        <v>184</v>
      </c>
      <c r="F573" s="4">
        <v>45229.520138888889</v>
      </c>
      <c r="G573" s="4">
        <v>45229.520138888889</v>
      </c>
      <c r="H573" s="1" t="s">
        <v>21</v>
      </c>
      <c r="I573" s="1" t="s">
        <v>22</v>
      </c>
      <c r="J573" s="1" t="s">
        <v>221</v>
      </c>
      <c r="L573" s="2">
        <v>2154.58</v>
      </c>
      <c r="M573" s="1" t="s">
        <v>648</v>
      </c>
    </row>
    <row r="574" spans="1:13" x14ac:dyDescent="0.2">
      <c r="A574" s="6" t="str">
        <f>VLOOKUP(J574,[1]Clientes!$C:$H,6,0)</f>
        <v>UNIPAR</v>
      </c>
      <c r="B574" s="7">
        <f t="shared" si="12"/>
        <v>45229</v>
      </c>
      <c r="C574" s="1" t="s">
        <v>621</v>
      </c>
      <c r="D574" s="1" t="s">
        <v>183</v>
      </c>
      <c r="E574" s="1" t="s">
        <v>184</v>
      </c>
      <c r="F574" s="4">
        <v>45229.531944444447</v>
      </c>
      <c r="G574" s="4">
        <v>45229.531944444447</v>
      </c>
      <c r="H574" s="1" t="s">
        <v>21</v>
      </c>
      <c r="I574" s="1" t="s">
        <v>22</v>
      </c>
      <c r="J574" s="1" t="s">
        <v>63</v>
      </c>
      <c r="L574" s="2">
        <v>3425.27</v>
      </c>
      <c r="M574" s="1" t="s">
        <v>647</v>
      </c>
    </row>
    <row r="575" spans="1:13" x14ac:dyDescent="0.2">
      <c r="A575" s="6" t="str">
        <f>VLOOKUP(J575,[1]Clientes!$C:$H,6,0)</f>
        <v>LANXESS</v>
      </c>
      <c r="B575" s="7">
        <f t="shared" si="12"/>
        <v>45229</v>
      </c>
      <c r="C575" s="1" t="s">
        <v>622</v>
      </c>
      <c r="D575" s="1" t="s">
        <v>183</v>
      </c>
      <c r="E575" s="1" t="s">
        <v>184</v>
      </c>
      <c r="F575" s="4">
        <v>45229.55</v>
      </c>
      <c r="G575" s="4">
        <v>45229.55</v>
      </c>
      <c r="H575" s="1" t="s">
        <v>21</v>
      </c>
      <c r="I575" s="1" t="s">
        <v>22</v>
      </c>
      <c r="J575" s="1" t="s">
        <v>200</v>
      </c>
      <c r="L575" s="2">
        <v>1854.92</v>
      </c>
      <c r="M575" s="1" t="s">
        <v>648</v>
      </c>
    </row>
    <row r="576" spans="1:13" x14ac:dyDescent="0.2">
      <c r="A576" s="6" t="str">
        <f>VLOOKUP(J576,[1]Clientes!$C:$H,6,0)</f>
        <v>CBA</v>
      </c>
      <c r="B576" s="7">
        <f t="shared" si="12"/>
        <v>45229</v>
      </c>
      <c r="C576" s="1" t="s">
        <v>623</v>
      </c>
      <c r="D576" s="1" t="s">
        <v>183</v>
      </c>
      <c r="E576" s="1" t="s">
        <v>184</v>
      </c>
      <c r="F576" s="4">
        <v>45229.565972222219</v>
      </c>
      <c r="G576" s="4">
        <v>45229.565972222219</v>
      </c>
      <c r="H576" s="1" t="s">
        <v>21</v>
      </c>
      <c r="I576" s="1" t="s">
        <v>22</v>
      </c>
      <c r="J576" s="1" t="s">
        <v>69</v>
      </c>
      <c r="L576" s="2">
        <v>1731.13</v>
      </c>
      <c r="M576" s="1" t="s">
        <v>0</v>
      </c>
    </row>
    <row r="577" spans="1:13" x14ac:dyDescent="0.2">
      <c r="A577" s="6" t="str">
        <f>VLOOKUP(J577,[1]Clientes!$C:$H,6,0)</f>
        <v>CBA</v>
      </c>
      <c r="B577" s="7">
        <f t="shared" si="12"/>
        <v>45229</v>
      </c>
      <c r="C577" s="1" t="s">
        <v>624</v>
      </c>
      <c r="D577" s="1" t="s">
        <v>183</v>
      </c>
      <c r="E577" s="1" t="s">
        <v>184</v>
      </c>
      <c r="F577" s="4">
        <v>45229.568749999999</v>
      </c>
      <c r="G577" s="4">
        <v>45229.568749999999</v>
      </c>
      <c r="H577" s="1" t="s">
        <v>21</v>
      </c>
      <c r="I577" s="1" t="s">
        <v>22</v>
      </c>
      <c r="J577" s="1" t="s">
        <v>69</v>
      </c>
      <c r="L577" s="2">
        <v>1719.98</v>
      </c>
      <c r="M577" s="1" t="s">
        <v>0</v>
      </c>
    </row>
    <row r="578" spans="1:13" x14ac:dyDescent="0.2">
      <c r="A578" s="6" t="str">
        <f>VLOOKUP(J578,[1]Clientes!$C:$H,6,0)</f>
        <v>VERDE FORTE</v>
      </c>
      <c r="B578" s="7">
        <f t="shared" si="12"/>
        <v>45229</v>
      </c>
      <c r="C578" s="1" t="s">
        <v>625</v>
      </c>
      <c r="D578" s="1" t="s">
        <v>183</v>
      </c>
      <c r="E578" s="1" t="s">
        <v>184</v>
      </c>
      <c r="F578" s="4">
        <v>45229.626388888886</v>
      </c>
      <c r="G578" s="4">
        <v>45229.626388888886</v>
      </c>
      <c r="H578" s="1" t="s">
        <v>21</v>
      </c>
      <c r="I578" s="1" t="s">
        <v>22</v>
      </c>
      <c r="J578" s="1" t="s">
        <v>27</v>
      </c>
      <c r="L578" s="2">
        <v>3214.9</v>
      </c>
      <c r="M578" s="1" t="s">
        <v>2</v>
      </c>
    </row>
    <row r="579" spans="1:13" x14ac:dyDescent="0.2">
      <c r="A579" s="6" t="str">
        <f>VLOOKUP(J579,[1]Clientes!$C:$H,6,0)</f>
        <v>CBA</v>
      </c>
      <c r="B579" s="7">
        <f t="shared" si="12"/>
        <v>45229</v>
      </c>
      <c r="C579" s="1" t="s">
        <v>178</v>
      </c>
      <c r="D579" s="1" t="s">
        <v>19</v>
      </c>
      <c r="E579" s="1" t="s">
        <v>20</v>
      </c>
      <c r="F579" s="4">
        <v>45229.634722222225</v>
      </c>
      <c r="G579" s="4">
        <v>45229.634722222225</v>
      </c>
      <c r="H579" s="1" t="s">
        <v>21</v>
      </c>
      <c r="I579" s="1" t="s">
        <v>22</v>
      </c>
      <c r="J579" s="1" t="s">
        <v>69</v>
      </c>
      <c r="L579" s="2">
        <v>3417.59</v>
      </c>
      <c r="M579" s="1" t="s">
        <v>0</v>
      </c>
    </row>
    <row r="580" spans="1:13" x14ac:dyDescent="0.2">
      <c r="A580" s="6" t="str">
        <f>VLOOKUP(J580,[1]Clientes!$C:$H,6,0)</f>
        <v>CBA</v>
      </c>
      <c r="B580" s="7">
        <f t="shared" si="12"/>
        <v>45229</v>
      </c>
      <c r="C580" s="1" t="s">
        <v>626</v>
      </c>
      <c r="D580" s="1" t="s">
        <v>183</v>
      </c>
      <c r="E580" s="1" t="s">
        <v>184</v>
      </c>
      <c r="F580" s="4">
        <v>45229.663888888892</v>
      </c>
      <c r="G580" s="4">
        <v>45229.663888888892</v>
      </c>
      <c r="H580" s="1" t="s">
        <v>21</v>
      </c>
      <c r="I580" s="1" t="s">
        <v>22</v>
      </c>
      <c r="J580" s="1" t="s">
        <v>69</v>
      </c>
      <c r="L580" s="2">
        <v>1813.14</v>
      </c>
      <c r="M580" s="1" t="s">
        <v>0</v>
      </c>
    </row>
    <row r="581" spans="1:13" x14ac:dyDescent="0.2">
      <c r="A581" s="6" t="str">
        <f>VLOOKUP(J581,[1]Clientes!$C:$H,6,0)</f>
        <v>IMERYS</v>
      </c>
      <c r="B581" s="7">
        <f t="shared" si="12"/>
        <v>45229</v>
      </c>
      <c r="C581" s="1" t="s">
        <v>627</v>
      </c>
      <c r="D581" s="1" t="s">
        <v>183</v>
      </c>
      <c r="E581" s="1" t="s">
        <v>184</v>
      </c>
      <c r="F581" s="4">
        <v>45229.665972222225</v>
      </c>
      <c r="G581" s="4">
        <v>45229.665972222225</v>
      </c>
      <c r="H581" s="1" t="s">
        <v>21</v>
      </c>
      <c r="I581" s="1" t="s">
        <v>22</v>
      </c>
      <c r="J581" s="1" t="s">
        <v>188</v>
      </c>
      <c r="L581" s="2">
        <v>943.28</v>
      </c>
      <c r="M581" s="1" t="s">
        <v>6</v>
      </c>
    </row>
    <row r="582" spans="1:13" x14ac:dyDescent="0.2">
      <c r="A582" s="6" t="str">
        <f>VLOOKUP(J582,[1]Clientes!$C:$H,6,0)</f>
        <v>CBA</v>
      </c>
      <c r="B582" s="7">
        <f t="shared" si="12"/>
        <v>45229</v>
      </c>
      <c r="C582" s="1" t="s">
        <v>628</v>
      </c>
      <c r="D582" s="1" t="s">
        <v>183</v>
      </c>
      <c r="E582" s="1" t="s">
        <v>184</v>
      </c>
      <c r="F582" s="4">
        <v>45229.668749999997</v>
      </c>
      <c r="G582" s="4">
        <v>45229.668749999997</v>
      </c>
      <c r="H582" s="1" t="s">
        <v>21</v>
      </c>
      <c r="I582" s="1" t="s">
        <v>22</v>
      </c>
      <c r="J582" s="1" t="s">
        <v>69</v>
      </c>
      <c r="L582" s="2">
        <v>1834.03</v>
      </c>
      <c r="M582" s="1" t="s">
        <v>0</v>
      </c>
    </row>
    <row r="583" spans="1:13" x14ac:dyDescent="0.2">
      <c r="A583" s="6" t="str">
        <f>VLOOKUP(J583,[1]Clientes!$C:$H,6,0)</f>
        <v>OUTROS</v>
      </c>
      <c r="B583" s="7">
        <f t="shared" si="12"/>
        <v>45229</v>
      </c>
      <c r="C583" s="1" t="s">
        <v>629</v>
      </c>
      <c r="D583" s="1" t="s">
        <v>183</v>
      </c>
      <c r="E583" s="1" t="s">
        <v>184</v>
      </c>
      <c r="F583" s="4">
        <v>45229.670138888891</v>
      </c>
      <c r="G583" s="4">
        <v>45229.670138888891</v>
      </c>
      <c r="H583" s="1" t="s">
        <v>21</v>
      </c>
      <c r="I583" s="1" t="s">
        <v>22</v>
      </c>
      <c r="J583" s="1" t="s">
        <v>630</v>
      </c>
      <c r="L583" s="2">
        <v>11500</v>
      </c>
      <c r="M583" s="1" t="s">
        <v>4</v>
      </c>
    </row>
    <row r="584" spans="1:13" x14ac:dyDescent="0.2">
      <c r="A584" s="6" t="str">
        <f>VLOOKUP(J584,[1]Clientes!$C:$H,6,0)</f>
        <v>CBA</v>
      </c>
      <c r="B584" s="7">
        <f t="shared" si="12"/>
        <v>45229</v>
      </c>
      <c r="C584" s="1" t="s">
        <v>631</v>
      </c>
      <c r="D584" s="1" t="s">
        <v>183</v>
      </c>
      <c r="E584" s="1" t="s">
        <v>184</v>
      </c>
      <c r="F584" s="4">
        <v>45229.67291666667</v>
      </c>
      <c r="G584" s="4">
        <v>45229.67291666667</v>
      </c>
      <c r="H584" s="1" t="s">
        <v>21</v>
      </c>
      <c r="I584" s="1" t="s">
        <v>22</v>
      </c>
      <c r="J584" s="1" t="s">
        <v>69</v>
      </c>
      <c r="L584" s="2">
        <v>1849.26</v>
      </c>
      <c r="M584" s="1" t="s">
        <v>0</v>
      </c>
    </row>
    <row r="585" spans="1:13" x14ac:dyDescent="0.2">
      <c r="A585" s="6" t="str">
        <f>VLOOKUP(J585,[1]Clientes!$C:$H,6,0)</f>
        <v>LANXESS</v>
      </c>
      <c r="B585" s="7">
        <f t="shared" si="12"/>
        <v>45229</v>
      </c>
      <c r="C585" s="1" t="s">
        <v>632</v>
      </c>
      <c r="D585" s="1" t="s">
        <v>183</v>
      </c>
      <c r="E585" s="1" t="s">
        <v>184</v>
      </c>
      <c r="F585" s="4">
        <v>45229.698611111111</v>
      </c>
      <c r="G585" s="4">
        <v>45229.698611111111</v>
      </c>
      <c r="H585" s="1" t="s">
        <v>21</v>
      </c>
      <c r="I585" s="1" t="s">
        <v>22</v>
      </c>
      <c r="J585" s="1" t="s">
        <v>200</v>
      </c>
      <c r="L585" s="2">
        <v>854.19</v>
      </c>
      <c r="M585" s="1" t="s">
        <v>648</v>
      </c>
    </row>
    <row r="586" spans="1:13" x14ac:dyDescent="0.2">
      <c r="A586" s="6" t="str">
        <f>VLOOKUP(J586,[1]Clientes!$C:$H,6,0)</f>
        <v>LANXESS</v>
      </c>
      <c r="B586" s="7">
        <f t="shared" si="12"/>
        <v>45229</v>
      </c>
      <c r="C586" s="1" t="s">
        <v>633</v>
      </c>
      <c r="D586" s="1" t="s">
        <v>183</v>
      </c>
      <c r="E586" s="1" t="s">
        <v>184</v>
      </c>
      <c r="F586" s="4">
        <v>45229.706944444442</v>
      </c>
      <c r="G586" s="4">
        <v>45229.706944444442</v>
      </c>
      <c r="H586" s="1" t="s">
        <v>21</v>
      </c>
      <c r="I586" s="1" t="s">
        <v>22</v>
      </c>
      <c r="J586" s="1" t="s">
        <v>200</v>
      </c>
      <c r="L586" s="2">
        <v>227.27</v>
      </c>
      <c r="M586" s="1" t="s">
        <v>648</v>
      </c>
    </row>
    <row r="587" spans="1:13" x14ac:dyDescent="0.2">
      <c r="A587" s="6" t="str">
        <f>VLOOKUP(J587,[1]Clientes!$C:$H,6,0)</f>
        <v>CBA</v>
      </c>
      <c r="B587" s="7">
        <f t="shared" si="12"/>
        <v>45229</v>
      </c>
      <c r="C587" s="1" t="s">
        <v>634</v>
      </c>
      <c r="D587" s="1" t="s">
        <v>183</v>
      </c>
      <c r="E587" s="1" t="s">
        <v>184</v>
      </c>
      <c r="F587" s="4">
        <v>45229.759027777778</v>
      </c>
      <c r="G587" s="4">
        <v>45229.759027777778</v>
      </c>
      <c r="H587" s="1" t="s">
        <v>21</v>
      </c>
      <c r="I587" s="1" t="s">
        <v>22</v>
      </c>
      <c r="J587" s="1" t="s">
        <v>69</v>
      </c>
      <c r="L587" s="2">
        <v>3327.89</v>
      </c>
      <c r="M587" s="1" t="s">
        <v>0</v>
      </c>
    </row>
    <row r="588" spans="1:13" x14ac:dyDescent="0.2">
      <c r="A588" s="6" t="str">
        <f>VLOOKUP(J588,[1]Clientes!$C:$H,6,0)</f>
        <v>CBA</v>
      </c>
      <c r="B588" s="7">
        <f t="shared" si="12"/>
        <v>45229</v>
      </c>
      <c r="C588" s="1" t="s">
        <v>635</v>
      </c>
      <c r="D588" s="1" t="s">
        <v>183</v>
      </c>
      <c r="E588" s="1" t="s">
        <v>184</v>
      </c>
      <c r="F588" s="4">
        <v>45229.769444444442</v>
      </c>
      <c r="G588" s="4">
        <v>45229.769444444442</v>
      </c>
      <c r="H588" s="1" t="s">
        <v>21</v>
      </c>
      <c r="I588" s="1" t="s">
        <v>22</v>
      </c>
      <c r="J588" s="1" t="s">
        <v>69</v>
      </c>
      <c r="L588" s="2">
        <v>1578.92</v>
      </c>
      <c r="M588" s="1" t="s">
        <v>0</v>
      </c>
    </row>
    <row r="589" spans="1:13" x14ac:dyDescent="0.2">
      <c r="A589" s="6" t="str">
        <f>VLOOKUP(J589,[1]Clientes!$C:$H,6,0)</f>
        <v>CBA</v>
      </c>
      <c r="B589" s="7">
        <f t="shared" si="12"/>
        <v>45229</v>
      </c>
      <c r="C589" s="1" t="s">
        <v>636</v>
      </c>
      <c r="D589" s="1" t="s">
        <v>183</v>
      </c>
      <c r="E589" s="1" t="s">
        <v>184</v>
      </c>
      <c r="F589" s="4">
        <v>45229.771527777775</v>
      </c>
      <c r="G589" s="4">
        <v>45229.771527777775</v>
      </c>
      <c r="H589" s="1" t="s">
        <v>21</v>
      </c>
      <c r="I589" s="1" t="s">
        <v>22</v>
      </c>
      <c r="J589" s="1" t="s">
        <v>69</v>
      </c>
      <c r="L589" s="2">
        <v>5905.42</v>
      </c>
      <c r="M589" s="1" t="s">
        <v>0</v>
      </c>
    </row>
    <row r="590" spans="1:13" x14ac:dyDescent="0.2">
      <c r="A590" s="6" t="str">
        <f>VLOOKUP(J590,[1]Clientes!$C:$H,6,0)</f>
        <v>CBA</v>
      </c>
      <c r="B590" s="7">
        <f t="shared" si="12"/>
        <v>45229</v>
      </c>
      <c r="C590" s="1" t="s">
        <v>637</v>
      </c>
      <c r="D590" s="1" t="s">
        <v>183</v>
      </c>
      <c r="E590" s="1" t="s">
        <v>184</v>
      </c>
      <c r="F590" s="4">
        <v>45229.79791666667</v>
      </c>
      <c r="G590" s="4">
        <v>45229.79791666667</v>
      </c>
      <c r="H590" s="1" t="s">
        <v>21</v>
      </c>
      <c r="I590" s="1" t="s">
        <v>22</v>
      </c>
      <c r="J590" s="1" t="s">
        <v>69</v>
      </c>
      <c r="L590" s="2">
        <v>3328.14</v>
      </c>
      <c r="M590" s="1" t="s">
        <v>0</v>
      </c>
    </row>
    <row r="591" spans="1:13" x14ac:dyDescent="0.2">
      <c r="A591" s="6" t="str">
        <f>VLOOKUP(J591,[1]Clientes!$C:$H,6,0)</f>
        <v>IMERYS</v>
      </c>
      <c r="B591" s="7">
        <f t="shared" si="12"/>
        <v>45229</v>
      </c>
      <c r="C591" s="1" t="s">
        <v>638</v>
      </c>
      <c r="D591" s="1" t="s">
        <v>183</v>
      </c>
      <c r="E591" s="1" t="s">
        <v>184</v>
      </c>
      <c r="F591" s="4">
        <v>45229.805555555555</v>
      </c>
      <c r="G591" s="4">
        <v>45229.805555555555</v>
      </c>
      <c r="H591" s="1" t="s">
        <v>21</v>
      </c>
      <c r="I591" s="1" t="s">
        <v>22</v>
      </c>
      <c r="J591" s="1" t="s">
        <v>188</v>
      </c>
      <c r="L591" s="2">
        <v>1062.78</v>
      </c>
      <c r="M591" s="1" t="s">
        <v>6</v>
      </c>
    </row>
    <row r="592" spans="1:13" x14ac:dyDescent="0.2">
      <c r="A592" s="6" t="str">
        <f>VLOOKUP(J592,[1]Clientes!$C:$H,6,0)</f>
        <v>CBA</v>
      </c>
      <c r="B592" s="7">
        <f t="shared" si="12"/>
        <v>45229</v>
      </c>
      <c r="C592" s="1" t="s">
        <v>639</v>
      </c>
      <c r="D592" s="1" t="s">
        <v>183</v>
      </c>
      <c r="E592" s="1" t="s">
        <v>184</v>
      </c>
      <c r="F592" s="4">
        <v>45229.869444444441</v>
      </c>
      <c r="G592" s="4">
        <v>45229.869444444441</v>
      </c>
      <c r="H592" s="1" t="s">
        <v>21</v>
      </c>
      <c r="I592" s="1" t="s">
        <v>22</v>
      </c>
      <c r="J592" s="1" t="s">
        <v>69</v>
      </c>
      <c r="L592" s="2">
        <v>3329.2</v>
      </c>
      <c r="M592" s="1" t="s">
        <v>0</v>
      </c>
    </row>
    <row r="593" spans="1:13" x14ac:dyDescent="0.2">
      <c r="A593" s="6" t="str">
        <f>VLOOKUP(J593,[1]Clientes!$C:$H,6,0)</f>
        <v>CBA</v>
      </c>
      <c r="B593" s="7">
        <f t="shared" si="12"/>
        <v>45229</v>
      </c>
      <c r="C593" s="1" t="s">
        <v>640</v>
      </c>
      <c r="D593" s="1" t="s">
        <v>183</v>
      </c>
      <c r="E593" s="1" t="s">
        <v>184</v>
      </c>
      <c r="F593" s="4">
        <v>45229.9</v>
      </c>
      <c r="G593" s="4">
        <v>45229.9</v>
      </c>
      <c r="H593" s="1" t="s">
        <v>21</v>
      </c>
      <c r="I593" s="1" t="s">
        <v>22</v>
      </c>
      <c r="J593" s="1" t="s">
        <v>69</v>
      </c>
      <c r="L593" s="2">
        <v>1832.23</v>
      </c>
      <c r="M593" s="1" t="s">
        <v>0</v>
      </c>
    </row>
    <row r="594" spans="1:13" x14ac:dyDescent="0.2">
      <c r="A594" s="6" t="str">
        <f>VLOOKUP(J594,[1]Clientes!$C:$H,6,0)</f>
        <v>CBA</v>
      </c>
      <c r="B594" s="7">
        <f t="shared" si="12"/>
        <v>45229</v>
      </c>
      <c r="C594" s="1" t="s">
        <v>641</v>
      </c>
      <c r="D594" s="1" t="s">
        <v>183</v>
      </c>
      <c r="E594" s="1" t="s">
        <v>184</v>
      </c>
      <c r="F594" s="4">
        <v>45229.905555555553</v>
      </c>
      <c r="G594" s="4">
        <v>45229.905555555553</v>
      </c>
      <c r="H594" s="1" t="s">
        <v>21</v>
      </c>
      <c r="I594" s="1" t="s">
        <v>22</v>
      </c>
      <c r="J594" s="1" t="s">
        <v>69</v>
      </c>
      <c r="L594" s="2">
        <v>3309.86</v>
      </c>
      <c r="M594" s="1" t="s">
        <v>0</v>
      </c>
    </row>
    <row r="595" spans="1:13" x14ac:dyDescent="0.2">
      <c r="A595" s="6" t="str">
        <f>VLOOKUP(J595,[1]Clientes!$C:$H,6,0)</f>
        <v>AMBEV</v>
      </c>
      <c r="B595" s="7">
        <f t="shared" si="12"/>
        <v>45230</v>
      </c>
      <c r="C595" s="1" t="s">
        <v>650</v>
      </c>
      <c r="D595" s="1" t="s">
        <v>183</v>
      </c>
      <c r="E595" s="1" t="s">
        <v>184</v>
      </c>
      <c r="F595" s="4">
        <v>45230.243750000001</v>
      </c>
      <c r="G595" s="4">
        <v>45230.243750000001</v>
      </c>
      <c r="H595" s="1" t="s">
        <v>21</v>
      </c>
      <c r="I595" s="1" t="s">
        <v>22</v>
      </c>
      <c r="J595" s="1" t="s">
        <v>513</v>
      </c>
      <c r="L595" s="2">
        <v>5108.9399999999996</v>
      </c>
      <c r="M595" s="1" t="s">
        <v>3</v>
      </c>
    </row>
    <row r="596" spans="1:13" x14ac:dyDescent="0.2">
      <c r="A596" s="6" t="str">
        <f>VLOOKUP(J596,[1]Clientes!$C:$H,6,0)</f>
        <v>CBA</v>
      </c>
      <c r="B596" s="7">
        <f t="shared" si="12"/>
        <v>45230</v>
      </c>
      <c r="C596" s="1" t="s">
        <v>651</v>
      </c>
      <c r="D596" s="1" t="s">
        <v>183</v>
      </c>
      <c r="E596" s="1" t="s">
        <v>184</v>
      </c>
      <c r="F596" s="4">
        <v>45230.301388888889</v>
      </c>
      <c r="G596" s="4">
        <v>45230.301388888889</v>
      </c>
      <c r="H596" s="1" t="s">
        <v>21</v>
      </c>
      <c r="I596" s="1" t="s">
        <v>22</v>
      </c>
      <c r="J596" s="1" t="s">
        <v>69</v>
      </c>
      <c r="L596" s="2">
        <v>1690.41</v>
      </c>
      <c r="M596" s="1" t="s">
        <v>0</v>
      </c>
    </row>
    <row r="597" spans="1:13" x14ac:dyDescent="0.2">
      <c r="A597" s="6" t="str">
        <f>VLOOKUP(J597,[1]Clientes!$C:$H,6,0)</f>
        <v>CBA</v>
      </c>
      <c r="B597" s="7">
        <f t="shared" si="12"/>
        <v>45230</v>
      </c>
      <c r="C597" s="1" t="s">
        <v>652</v>
      </c>
      <c r="D597" s="1" t="s">
        <v>183</v>
      </c>
      <c r="E597" s="1" t="s">
        <v>184</v>
      </c>
      <c r="F597" s="4">
        <v>45230.317361111112</v>
      </c>
      <c r="G597" s="4">
        <v>45230.317361111112</v>
      </c>
      <c r="H597" s="1" t="s">
        <v>21</v>
      </c>
      <c r="I597" s="1" t="s">
        <v>22</v>
      </c>
      <c r="J597" s="1" t="s">
        <v>69</v>
      </c>
      <c r="L597" s="2">
        <v>1691.87</v>
      </c>
      <c r="M597" s="1" t="s">
        <v>0</v>
      </c>
    </row>
    <row r="598" spans="1:13" x14ac:dyDescent="0.2">
      <c r="A598" s="6" t="str">
        <f>VLOOKUP(J598,[1]Clientes!$C:$H,6,0)</f>
        <v>CBA</v>
      </c>
      <c r="B598" s="7">
        <f t="shared" si="12"/>
        <v>45230</v>
      </c>
      <c r="C598" s="1" t="s">
        <v>653</v>
      </c>
      <c r="D598" s="1" t="s">
        <v>183</v>
      </c>
      <c r="E598" s="1" t="s">
        <v>184</v>
      </c>
      <c r="F598" s="4">
        <v>45230.335416666669</v>
      </c>
      <c r="G598" s="4">
        <v>45230.335416666669</v>
      </c>
      <c r="H598" s="1" t="s">
        <v>21</v>
      </c>
      <c r="I598" s="1" t="s">
        <v>22</v>
      </c>
      <c r="J598" s="1" t="s">
        <v>69</v>
      </c>
      <c r="L598" s="2">
        <v>1690.88</v>
      </c>
      <c r="M598" s="1" t="s">
        <v>0</v>
      </c>
    </row>
    <row r="599" spans="1:13" x14ac:dyDescent="0.2">
      <c r="A599" s="6" t="s">
        <v>1</v>
      </c>
      <c r="B599" s="7">
        <f t="shared" si="12"/>
        <v>45230</v>
      </c>
      <c r="C599" s="1" t="s">
        <v>654</v>
      </c>
      <c r="D599" s="1" t="s">
        <v>19</v>
      </c>
      <c r="E599" s="1" t="s">
        <v>20</v>
      </c>
      <c r="F599" s="4">
        <v>45230.363888888889</v>
      </c>
      <c r="G599" s="4">
        <v>45230.363888888889</v>
      </c>
      <c r="H599" s="1" t="s">
        <v>21</v>
      </c>
      <c r="I599" s="1" t="s">
        <v>22</v>
      </c>
      <c r="J599" s="1" t="s">
        <v>25</v>
      </c>
      <c r="L599" s="2">
        <v>2031.93</v>
      </c>
      <c r="M599" s="1" t="s">
        <v>1</v>
      </c>
    </row>
    <row r="600" spans="1:13" x14ac:dyDescent="0.2">
      <c r="A600" s="6" t="str">
        <f>VLOOKUP(J600,[1]Clientes!$C:$H,6,0)</f>
        <v>CBA</v>
      </c>
      <c r="B600" s="7">
        <f t="shared" si="12"/>
        <v>45230</v>
      </c>
      <c r="C600" s="1" t="s">
        <v>655</v>
      </c>
      <c r="D600" s="1" t="s">
        <v>183</v>
      </c>
      <c r="E600" s="1" t="s">
        <v>184</v>
      </c>
      <c r="F600" s="4">
        <v>45230.380555555559</v>
      </c>
      <c r="G600" s="4">
        <v>45230.380555555559</v>
      </c>
      <c r="H600" s="1" t="s">
        <v>21</v>
      </c>
      <c r="I600" s="1" t="s">
        <v>22</v>
      </c>
      <c r="J600" s="1" t="s">
        <v>69</v>
      </c>
      <c r="L600" s="2">
        <v>3421.64</v>
      </c>
      <c r="M600" s="1" t="s">
        <v>0</v>
      </c>
    </row>
    <row r="601" spans="1:13" x14ac:dyDescent="0.2">
      <c r="A601" s="6" t="str">
        <f>VLOOKUP(J601,[1]Clientes!$C:$H,6,0)</f>
        <v>CBA</v>
      </c>
      <c r="B601" s="7">
        <f t="shared" si="12"/>
        <v>45230</v>
      </c>
      <c r="C601" s="1" t="s">
        <v>656</v>
      </c>
      <c r="D601" s="1" t="s">
        <v>183</v>
      </c>
      <c r="E601" s="1" t="s">
        <v>184</v>
      </c>
      <c r="F601" s="4">
        <v>45230.384027777778</v>
      </c>
      <c r="G601" s="4">
        <v>45230.384027777778</v>
      </c>
      <c r="H601" s="1" t="s">
        <v>21</v>
      </c>
      <c r="I601" s="1" t="s">
        <v>22</v>
      </c>
      <c r="J601" s="1" t="s">
        <v>69</v>
      </c>
      <c r="L601" s="2">
        <v>3420.16</v>
      </c>
      <c r="M601" s="1" t="s">
        <v>0</v>
      </c>
    </row>
    <row r="602" spans="1:13" x14ac:dyDescent="0.2">
      <c r="A602" s="6" t="str">
        <f>VLOOKUP(J602,[1]Clientes!$C:$H,6,0)</f>
        <v>CBA</v>
      </c>
      <c r="B602" s="7">
        <f t="shared" si="12"/>
        <v>45230</v>
      </c>
      <c r="C602" s="1" t="s">
        <v>657</v>
      </c>
      <c r="D602" s="1" t="s">
        <v>183</v>
      </c>
      <c r="E602" s="1" t="s">
        <v>184</v>
      </c>
      <c r="F602" s="4">
        <v>45230.387499999997</v>
      </c>
      <c r="G602" s="4">
        <v>45230.387499999997</v>
      </c>
      <c r="H602" s="1" t="s">
        <v>21</v>
      </c>
      <c r="I602" s="1" t="s">
        <v>22</v>
      </c>
      <c r="J602" s="1" t="s">
        <v>69</v>
      </c>
      <c r="L602" s="2">
        <v>3421.38</v>
      </c>
      <c r="M602" s="1" t="s">
        <v>0</v>
      </c>
    </row>
    <row r="603" spans="1:13" x14ac:dyDescent="0.2">
      <c r="A603" s="6" t="str">
        <f>VLOOKUP(J603,[1]Clientes!$C:$H,6,0)</f>
        <v>CBA</v>
      </c>
      <c r="B603" s="7">
        <f t="shared" si="12"/>
        <v>45230</v>
      </c>
      <c r="C603" s="1" t="s">
        <v>658</v>
      </c>
      <c r="D603" s="1" t="s">
        <v>19</v>
      </c>
      <c r="E603" s="1" t="s">
        <v>20</v>
      </c>
      <c r="F603" s="4">
        <v>45230.392361111109</v>
      </c>
      <c r="G603" s="4">
        <v>45230.392361111109</v>
      </c>
      <c r="H603" s="1" t="s">
        <v>21</v>
      </c>
      <c r="I603" s="1" t="s">
        <v>22</v>
      </c>
      <c r="J603" s="1" t="s">
        <v>69</v>
      </c>
      <c r="L603" s="2">
        <v>1684.5</v>
      </c>
      <c r="M603" s="1" t="s">
        <v>0</v>
      </c>
    </row>
    <row r="604" spans="1:13" x14ac:dyDescent="0.2">
      <c r="A604" s="6" t="str">
        <f>VLOOKUP(J604,[1]Clientes!$C:$H,6,0)</f>
        <v>IMERYS</v>
      </c>
      <c r="B604" s="7">
        <f t="shared" si="12"/>
        <v>45230</v>
      </c>
      <c r="C604" s="1" t="s">
        <v>659</v>
      </c>
      <c r="D604" s="1" t="s">
        <v>183</v>
      </c>
      <c r="E604" s="1" t="s">
        <v>184</v>
      </c>
      <c r="F604" s="4">
        <v>45230.401388888888</v>
      </c>
      <c r="G604" s="4">
        <v>45230.401388888888</v>
      </c>
      <c r="H604" s="1" t="s">
        <v>21</v>
      </c>
      <c r="I604" s="1" t="s">
        <v>22</v>
      </c>
      <c r="J604" s="1" t="s">
        <v>188</v>
      </c>
      <c r="L604" s="2">
        <v>1071.93</v>
      </c>
      <c r="M604" s="1" t="s">
        <v>6</v>
      </c>
    </row>
    <row r="605" spans="1:13" x14ac:dyDescent="0.2">
      <c r="A605" s="6" t="s">
        <v>1</v>
      </c>
      <c r="B605" s="7">
        <f t="shared" si="12"/>
        <v>45230</v>
      </c>
      <c r="C605" s="1" t="s">
        <v>660</v>
      </c>
      <c r="D605" s="1" t="s">
        <v>19</v>
      </c>
      <c r="E605" s="1" t="s">
        <v>20</v>
      </c>
      <c r="F605" s="4">
        <v>45230.556944444441</v>
      </c>
      <c r="G605" s="4">
        <v>45230.556944444441</v>
      </c>
      <c r="H605" s="1" t="s">
        <v>21</v>
      </c>
      <c r="I605" s="1" t="s">
        <v>22</v>
      </c>
      <c r="J605" s="1" t="s">
        <v>25</v>
      </c>
      <c r="L605" s="2">
        <v>1898.02</v>
      </c>
      <c r="M605" s="1" t="s">
        <v>1</v>
      </c>
    </row>
    <row r="606" spans="1:13" x14ac:dyDescent="0.2">
      <c r="A606" s="6" t="str">
        <f>VLOOKUP(J606,[1]Clientes!$C:$H,6,0)</f>
        <v>CBA</v>
      </c>
      <c r="B606" s="7">
        <f t="shared" si="12"/>
        <v>45230</v>
      </c>
      <c r="C606" s="1" t="s">
        <v>661</v>
      </c>
      <c r="D606" s="1" t="s">
        <v>183</v>
      </c>
      <c r="E606" s="1" t="s">
        <v>184</v>
      </c>
      <c r="F606" s="4">
        <v>45230.607638888891</v>
      </c>
      <c r="G606" s="4">
        <v>45230.607638888891</v>
      </c>
      <c r="H606" s="1" t="s">
        <v>21</v>
      </c>
      <c r="I606" s="1" t="s">
        <v>22</v>
      </c>
      <c r="J606" s="1" t="s">
        <v>69</v>
      </c>
      <c r="L606" s="2">
        <v>2897.68</v>
      </c>
      <c r="M606" s="1" t="s">
        <v>0</v>
      </c>
    </row>
    <row r="607" spans="1:13" x14ac:dyDescent="0.2">
      <c r="A607" s="6" t="str">
        <f>VLOOKUP(J607,[1]Clientes!$C:$H,6,0)</f>
        <v>CBA</v>
      </c>
      <c r="B607" s="7">
        <f t="shared" si="12"/>
        <v>45230</v>
      </c>
      <c r="C607" s="1" t="s">
        <v>662</v>
      </c>
      <c r="D607" s="1" t="s">
        <v>183</v>
      </c>
      <c r="E607" s="1" t="s">
        <v>184</v>
      </c>
      <c r="F607" s="4">
        <v>45230.609722222223</v>
      </c>
      <c r="G607" s="4">
        <v>45230.609722222223</v>
      </c>
      <c r="H607" s="1" t="s">
        <v>21</v>
      </c>
      <c r="I607" s="1" t="s">
        <v>22</v>
      </c>
      <c r="J607" s="1" t="s">
        <v>69</v>
      </c>
      <c r="L607" s="2">
        <v>2913.81</v>
      </c>
      <c r="M607" s="1" t="s">
        <v>0</v>
      </c>
    </row>
    <row r="608" spans="1:13" x14ac:dyDescent="0.2">
      <c r="A608" s="6" t="str">
        <f>VLOOKUP(J608,[1]Clientes!$C:$H,6,0)</f>
        <v>IMERYS</v>
      </c>
      <c r="B608" s="7">
        <f t="shared" si="12"/>
        <v>45230</v>
      </c>
      <c r="C608" s="1" t="s">
        <v>663</v>
      </c>
      <c r="D608" s="1" t="s">
        <v>183</v>
      </c>
      <c r="E608" s="1" t="s">
        <v>184</v>
      </c>
      <c r="F608" s="4">
        <v>45230.63958333333</v>
      </c>
      <c r="G608" s="4">
        <v>45230.63958333333</v>
      </c>
      <c r="H608" s="1" t="s">
        <v>21</v>
      </c>
      <c r="I608" s="1" t="s">
        <v>22</v>
      </c>
      <c r="J608" s="1" t="s">
        <v>188</v>
      </c>
      <c r="L608" s="2">
        <v>1185.56</v>
      </c>
      <c r="M608" s="1" t="s">
        <v>6</v>
      </c>
    </row>
    <row r="609" spans="1:13" x14ac:dyDescent="0.2">
      <c r="A609" s="6" t="str">
        <f>VLOOKUP(J609,[1]Clientes!$C:$H,6,0)</f>
        <v>CBA</v>
      </c>
      <c r="B609" s="7">
        <f t="shared" si="12"/>
        <v>45230</v>
      </c>
      <c r="C609" s="1" t="s">
        <v>664</v>
      </c>
      <c r="D609" s="1" t="s">
        <v>183</v>
      </c>
      <c r="E609" s="1" t="s">
        <v>184</v>
      </c>
      <c r="F609" s="4">
        <v>45230.640277777777</v>
      </c>
      <c r="G609" s="4">
        <v>45230.640277777777</v>
      </c>
      <c r="H609" s="1" t="s">
        <v>21</v>
      </c>
      <c r="I609" s="1" t="s">
        <v>22</v>
      </c>
      <c r="J609" s="1" t="s">
        <v>69</v>
      </c>
      <c r="L609" s="2">
        <v>2930.35</v>
      </c>
      <c r="M609" s="1" t="s">
        <v>0</v>
      </c>
    </row>
    <row r="610" spans="1:13" x14ac:dyDescent="0.2">
      <c r="A610" s="6" t="str">
        <f>VLOOKUP(J610,[1]Clientes!$C:$H,6,0)</f>
        <v>IMERYS</v>
      </c>
      <c r="B610" s="7">
        <f t="shared" si="12"/>
        <v>45230</v>
      </c>
      <c r="C610" s="1" t="s">
        <v>665</v>
      </c>
      <c r="D610" s="1" t="s">
        <v>183</v>
      </c>
      <c r="E610" s="1" t="s">
        <v>184</v>
      </c>
      <c r="F610" s="4">
        <v>45230.646527777775</v>
      </c>
      <c r="G610" s="4">
        <v>45230.646527777775</v>
      </c>
      <c r="H610" s="1" t="s">
        <v>21</v>
      </c>
      <c r="I610" s="1" t="s">
        <v>22</v>
      </c>
      <c r="J610" s="1" t="s">
        <v>188</v>
      </c>
      <c r="L610" s="2">
        <v>1115.42</v>
      </c>
      <c r="M610" s="1" t="s">
        <v>6</v>
      </c>
    </row>
    <row r="611" spans="1:13" x14ac:dyDescent="0.2">
      <c r="A611" s="6" t="str">
        <f>VLOOKUP(J611,[1]Clientes!$C:$H,6,0)</f>
        <v>CBA</v>
      </c>
      <c r="B611" s="7">
        <f t="shared" si="12"/>
        <v>45230</v>
      </c>
      <c r="C611" s="1" t="s">
        <v>666</v>
      </c>
      <c r="D611" s="1" t="s">
        <v>19</v>
      </c>
      <c r="E611" s="1" t="s">
        <v>20</v>
      </c>
      <c r="F611" s="4">
        <v>45230.655555555553</v>
      </c>
      <c r="G611" s="4">
        <v>45230.655555555553</v>
      </c>
      <c r="H611" s="1" t="s">
        <v>21</v>
      </c>
      <c r="I611" s="1" t="s">
        <v>22</v>
      </c>
      <c r="J611" s="1" t="s">
        <v>69</v>
      </c>
      <c r="L611" s="2">
        <v>13980.3</v>
      </c>
      <c r="M611" s="1" t="s">
        <v>0</v>
      </c>
    </row>
    <row r="612" spans="1:13" x14ac:dyDescent="0.2">
      <c r="A612" s="6" t="str">
        <f>VLOOKUP(J612,[1]Clientes!$C:$H,6,0)</f>
        <v>IMERYS</v>
      </c>
      <c r="B612" s="7">
        <f t="shared" si="12"/>
        <v>45230</v>
      </c>
      <c r="C612" s="1" t="s">
        <v>667</v>
      </c>
      <c r="D612" s="1" t="s">
        <v>183</v>
      </c>
      <c r="E612" s="1" t="s">
        <v>184</v>
      </c>
      <c r="F612" s="4">
        <v>45230.672222222223</v>
      </c>
      <c r="G612" s="4">
        <v>45230.672222222223</v>
      </c>
      <c r="H612" s="1" t="s">
        <v>21</v>
      </c>
      <c r="I612" s="1" t="s">
        <v>22</v>
      </c>
      <c r="J612" s="1" t="s">
        <v>188</v>
      </c>
      <c r="L612" s="2">
        <v>1328.4</v>
      </c>
      <c r="M612" s="1" t="s">
        <v>6</v>
      </c>
    </row>
    <row r="613" spans="1:13" x14ac:dyDescent="0.2">
      <c r="A613" s="6" t="str">
        <f>VLOOKUP(J613,[1]Clientes!$C:$H,6,0)</f>
        <v>CBA</v>
      </c>
      <c r="B613" s="7">
        <f t="shared" si="12"/>
        <v>45230</v>
      </c>
      <c r="C613" s="1" t="s">
        <v>668</v>
      </c>
      <c r="D613" s="1" t="s">
        <v>183</v>
      </c>
      <c r="E613" s="1" t="s">
        <v>184</v>
      </c>
      <c r="F613" s="4">
        <v>45230.672222222223</v>
      </c>
      <c r="G613" s="4">
        <v>45230.672222222223</v>
      </c>
      <c r="H613" s="1" t="s">
        <v>21</v>
      </c>
      <c r="I613" s="1" t="s">
        <v>22</v>
      </c>
      <c r="J613" s="1" t="s">
        <v>69</v>
      </c>
      <c r="L613" s="2">
        <v>10817.67</v>
      </c>
      <c r="M613" s="1" t="s">
        <v>0</v>
      </c>
    </row>
    <row r="614" spans="1:13" x14ac:dyDescent="0.2">
      <c r="A614" s="6" t="s">
        <v>1</v>
      </c>
      <c r="B614" s="7">
        <f t="shared" si="12"/>
        <v>45230</v>
      </c>
      <c r="C614" s="1" t="s">
        <v>669</v>
      </c>
      <c r="D614" s="1" t="s">
        <v>19</v>
      </c>
      <c r="E614" s="1" t="s">
        <v>20</v>
      </c>
      <c r="F614" s="4">
        <v>45230.695833333331</v>
      </c>
      <c r="G614" s="4">
        <v>45230.695833333331</v>
      </c>
      <c r="H614" s="1" t="s">
        <v>21</v>
      </c>
      <c r="I614" s="1" t="s">
        <v>22</v>
      </c>
      <c r="J614" s="1" t="s">
        <v>25</v>
      </c>
      <c r="L614" s="2">
        <v>2287.4499999999998</v>
      </c>
      <c r="M614" s="1" t="s">
        <v>1</v>
      </c>
    </row>
    <row r="615" spans="1:13" x14ac:dyDescent="0.2">
      <c r="A615" s="6" t="str">
        <f>VLOOKUP(J615,[1]Clientes!$C:$H,6,0)</f>
        <v>LANXESS</v>
      </c>
      <c r="B615" s="7">
        <f t="shared" si="12"/>
        <v>45230</v>
      </c>
      <c r="C615" s="1" t="s">
        <v>670</v>
      </c>
      <c r="D615" s="1" t="s">
        <v>183</v>
      </c>
      <c r="E615" s="1" t="s">
        <v>184</v>
      </c>
      <c r="F615" s="4">
        <v>45230.718055555553</v>
      </c>
      <c r="G615" s="4">
        <v>45230.718055555553</v>
      </c>
      <c r="H615" s="1" t="s">
        <v>21</v>
      </c>
      <c r="I615" s="1" t="s">
        <v>22</v>
      </c>
      <c r="J615" s="1" t="s">
        <v>221</v>
      </c>
      <c r="L615" s="2">
        <v>1336</v>
      </c>
      <c r="M615" s="1" t="s">
        <v>648</v>
      </c>
    </row>
    <row r="616" spans="1:13" x14ac:dyDescent="0.2">
      <c r="A616" s="6" t="str">
        <f>VLOOKUP(J616,[1]Clientes!$C:$H,6,0)</f>
        <v>CBA</v>
      </c>
      <c r="B616" s="7">
        <f t="shared" si="12"/>
        <v>45230</v>
      </c>
      <c r="C616" s="1" t="s">
        <v>671</v>
      </c>
      <c r="D616" s="1" t="s">
        <v>183</v>
      </c>
      <c r="E616" s="1" t="s">
        <v>184</v>
      </c>
      <c r="F616" s="4">
        <v>45230.720833333333</v>
      </c>
      <c r="G616" s="4">
        <v>45230.720833333333</v>
      </c>
      <c r="H616" s="1" t="s">
        <v>21</v>
      </c>
      <c r="I616" s="1" t="s">
        <v>22</v>
      </c>
      <c r="J616" s="1" t="s">
        <v>69</v>
      </c>
      <c r="L616" s="2">
        <v>1685.78</v>
      </c>
      <c r="M616" s="1" t="s">
        <v>0</v>
      </c>
    </row>
    <row r="617" spans="1:13" x14ac:dyDescent="0.2">
      <c r="A617" s="6" t="str">
        <f>VLOOKUP(J617,[1]Clientes!$C:$H,6,0)</f>
        <v>CBA</v>
      </c>
      <c r="B617" s="7">
        <f t="shared" si="12"/>
        <v>45230</v>
      </c>
      <c r="C617" s="1" t="s">
        <v>672</v>
      </c>
      <c r="D617" s="1" t="s">
        <v>183</v>
      </c>
      <c r="E617" s="1" t="s">
        <v>184</v>
      </c>
      <c r="F617" s="4">
        <v>45230.753472222219</v>
      </c>
      <c r="G617" s="4">
        <v>45230.753472222219</v>
      </c>
      <c r="H617" s="1" t="s">
        <v>21</v>
      </c>
      <c r="I617" s="1" t="s">
        <v>22</v>
      </c>
      <c r="J617" s="1" t="s">
        <v>69</v>
      </c>
      <c r="L617" s="2">
        <v>2976.83</v>
      </c>
      <c r="M617" s="1" t="s">
        <v>0</v>
      </c>
    </row>
    <row r="618" spans="1:13" x14ac:dyDescent="0.2">
      <c r="A618" s="6" t="str">
        <f>VLOOKUP(J618,[1]Clientes!$C:$H,6,0)</f>
        <v>LANXESS</v>
      </c>
      <c r="B618" s="7">
        <f t="shared" si="12"/>
        <v>45230</v>
      </c>
      <c r="C618" s="1" t="s">
        <v>673</v>
      </c>
      <c r="D618" s="1" t="s">
        <v>183</v>
      </c>
      <c r="E618" s="1" t="s">
        <v>184</v>
      </c>
      <c r="F618" s="4">
        <v>45230.786805555559</v>
      </c>
      <c r="G618" s="4">
        <v>45230.786805555559</v>
      </c>
      <c r="H618" s="1" t="s">
        <v>21</v>
      </c>
      <c r="I618" s="1" t="s">
        <v>22</v>
      </c>
      <c r="J618" s="1" t="s">
        <v>221</v>
      </c>
      <c r="L618" s="2">
        <v>3776.68</v>
      </c>
      <c r="M618" s="1" t="s">
        <v>648</v>
      </c>
    </row>
    <row r="619" spans="1:13" x14ac:dyDescent="0.2">
      <c r="A619" s="6" t="str">
        <f>VLOOKUP(J619,[1]Clientes!$C:$H,6,0)</f>
        <v>CBA</v>
      </c>
      <c r="B619" s="7">
        <f t="shared" si="12"/>
        <v>45230</v>
      </c>
      <c r="C619" s="1" t="s">
        <v>674</v>
      </c>
      <c r="D619" s="1" t="s">
        <v>183</v>
      </c>
      <c r="E619" s="1" t="s">
        <v>184</v>
      </c>
      <c r="F619" s="4">
        <v>45230.796527777777</v>
      </c>
      <c r="G619" s="4">
        <v>45230.796527777777</v>
      </c>
      <c r="H619" s="1" t="s">
        <v>21</v>
      </c>
      <c r="I619" s="1" t="s">
        <v>22</v>
      </c>
      <c r="J619" s="1" t="s">
        <v>69</v>
      </c>
      <c r="L619" s="2">
        <v>2861.74</v>
      </c>
      <c r="M619" s="1" t="s">
        <v>0</v>
      </c>
    </row>
    <row r="620" spans="1:13" x14ac:dyDescent="0.2">
      <c r="A620" s="6" t="str">
        <f>VLOOKUP(J620,[1]Clientes!$C:$H,6,0)</f>
        <v>CBA</v>
      </c>
      <c r="B620" s="7">
        <f t="shared" si="12"/>
        <v>45230</v>
      </c>
      <c r="C620" s="1" t="s">
        <v>675</v>
      </c>
      <c r="D620" s="1" t="s">
        <v>183</v>
      </c>
      <c r="E620" s="1" t="s">
        <v>184</v>
      </c>
      <c r="F620" s="4">
        <v>45230.890277777777</v>
      </c>
      <c r="G620" s="4">
        <v>45230.890277777777</v>
      </c>
      <c r="H620" s="1" t="s">
        <v>21</v>
      </c>
      <c r="I620" s="1" t="s">
        <v>22</v>
      </c>
      <c r="J620" s="1" t="s">
        <v>69</v>
      </c>
      <c r="L620" s="2">
        <v>2930.11</v>
      </c>
      <c r="M620" s="1" t="s">
        <v>0</v>
      </c>
    </row>
    <row r="621" spans="1:13" x14ac:dyDescent="0.2">
      <c r="A621" s="6" t="str">
        <f>VLOOKUP(J621,[1]Clientes!$C:$H,6,0)</f>
        <v>CBA</v>
      </c>
      <c r="B621" s="7">
        <f t="shared" si="12"/>
        <v>45230</v>
      </c>
      <c r="C621" s="1" t="s">
        <v>676</v>
      </c>
      <c r="D621" s="1" t="s">
        <v>19</v>
      </c>
      <c r="E621" s="1" t="s">
        <v>20</v>
      </c>
      <c r="F621" s="4">
        <v>45230.913888888892</v>
      </c>
      <c r="G621" s="4">
        <v>45230.913888888892</v>
      </c>
      <c r="H621" s="1" t="s">
        <v>21</v>
      </c>
      <c r="I621" s="1" t="s">
        <v>22</v>
      </c>
      <c r="J621" s="1" t="s">
        <v>69</v>
      </c>
      <c r="L621" s="2">
        <v>2945.01</v>
      </c>
      <c r="M621" s="1" t="s">
        <v>0</v>
      </c>
    </row>
    <row r="622" spans="1:13" x14ac:dyDescent="0.2">
      <c r="A622" s="6" t="str">
        <f>VLOOKUP(J622,[1]Clientes!$C:$H,6,0)</f>
        <v>CBA</v>
      </c>
      <c r="B622" s="7">
        <f t="shared" si="12"/>
        <v>45230</v>
      </c>
      <c r="C622" s="1" t="s">
        <v>677</v>
      </c>
      <c r="D622" s="1" t="s">
        <v>183</v>
      </c>
      <c r="E622" s="1" t="s">
        <v>184</v>
      </c>
      <c r="F622" s="4">
        <v>45230.915972222225</v>
      </c>
      <c r="G622" s="4">
        <v>45230.915972222225</v>
      </c>
      <c r="H622" s="1" t="s">
        <v>21</v>
      </c>
      <c r="I622" s="1" t="s">
        <v>22</v>
      </c>
      <c r="J622" s="1" t="s">
        <v>69</v>
      </c>
      <c r="L622" s="2">
        <v>1687.66</v>
      </c>
      <c r="M622" s="1" t="s">
        <v>0</v>
      </c>
    </row>
    <row r="623" spans="1:13" x14ac:dyDescent="0.2">
      <c r="A623" s="6" t="str">
        <f>VLOOKUP(J623,[1]Clientes!$C:$H,6,0)</f>
        <v>CBA</v>
      </c>
      <c r="B623" s="7">
        <f t="shared" si="12"/>
        <v>45230</v>
      </c>
      <c r="C623" s="1" t="s">
        <v>678</v>
      </c>
      <c r="D623" s="1" t="s">
        <v>183</v>
      </c>
      <c r="E623" s="1" t="s">
        <v>184</v>
      </c>
      <c r="F623" s="4">
        <v>45230.925694444442</v>
      </c>
      <c r="G623" s="4">
        <v>45230.925694444442</v>
      </c>
      <c r="H623" s="1" t="s">
        <v>21</v>
      </c>
      <c r="I623" s="1" t="s">
        <v>22</v>
      </c>
      <c r="J623" s="1" t="s">
        <v>69</v>
      </c>
      <c r="L623" s="2">
        <v>1683.96</v>
      </c>
      <c r="M623" s="1" t="s">
        <v>0</v>
      </c>
    </row>
    <row r="624" spans="1:13" x14ac:dyDescent="0.2">
      <c r="A624" s="6" t="str">
        <f>VLOOKUP(J624,[1]Clientes!$C:$H,6,0)</f>
        <v>CBA</v>
      </c>
      <c r="B624" s="7">
        <f t="shared" si="12"/>
        <v>45230</v>
      </c>
      <c r="C624" s="1" t="s">
        <v>679</v>
      </c>
      <c r="D624" s="1" t="s">
        <v>183</v>
      </c>
      <c r="E624" s="1" t="s">
        <v>184</v>
      </c>
      <c r="F624" s="4">
        <v>45230.977083333331</v>
      </c>
      <c r="G624" s="4">
        <v>45230.977083333331</v>
      </c>
      <c r="H624" s="1" t="s">
        <v>21</v>
      </c>
      <c r="I624" s="1" t="s">
        <v>22</v>
      </c>
      <c r="J624" s="1" t="s">
        <v>69</v>
      </c>
      <c r="L624" s="2">
        <v>1680.44</v>
      </c>
      <c r="M624" s="1" t="s">
        <v>0</v>
      </c>
    </row>
    <row r="625" spans="1:12" x14ac:dyDescent="0.2">
      <c r="B625" s="1"/>
    </row>
    <row r="626" spans="1:12" x14ac:dyDescent="0.2">
      <c r="A626" s="6" t="str">
        <f>VLOOKUP(J626,[1]Clientes!$C:$H,6,0)</f>
        <v>AMBEV</v>
      </c>
      <c r="B626" s="7">
        <f t="shared" si="12"/>
        <v>45231</v>
      </c>
      <c r="C626" s="1" t="s">
        <v>680</v>
      </c>
      <c r="D626" s="1" t="s">
        <v>183</v>
      </c>
      <c r="E626" s="1" t="s">
        <v>184</v>
      </c>
      <c r="F626" s="4">
        <v>45231.09375</v>
      </c>
      <c r="G626" s="4">
        <v>45231.09375</v>
      </c>
      <c r="H626" s="1" t="s">
        <v>21</v>
      </c>
      <c r="I626" s="1" t="s">
        <v>22</v>
      </c>
      <c r="J626" s="1" t="s">
        <v>513</v>
      </c>
      <c r="L626" s="2">
        <v>10616.43</v>
      </c>
    </row>
    <row r="627" spans="1:12" x14ac:dyDescent="0.2">
      <c r="A627" s="6" t="s">
        <v>1</v>
      </c>
      <c r="B627" s="7">
        <f t="shared" si="12"/>
        <v>45231</v>
      </c>
      <c r="C627" s="1" t="s">
        <v>681</v>
      </c>
      <c r="D627" s="1" t="s">
        <v>19</v>
      </c>
      <c r="E627" s="1" t="s">
        <v>20</v>
      </c>
      <c r="F627" s="4">
        <v>45231.315972222219</v>
      </c>
      <c r="G627" s="4">
        <v>45231.315972222219</v>
      </c>
      <c r="H627" s="1" t="s">
        <v>21</v>
      </c>
      <c r="I627" s="1" t="s">
        <v>22</v>
      </c>
      <c r="J627" s="1" t="s">
        <v>25</v>
      </c>
      <c r="L627" s="2">
        <v>2102.15</v>
      </c>
    </row>
    <row r="628" spans="1:12" x14ac:dyDescent="0.2">
      <c r="A628" s="6" t="str">
        <f>VLOOKUP(J628,[1]Clientes!$C:$H,6,0)</f>
        <v>CBA</v>
      </c>
      <c r="B628" s="7">
        <f t="shared" si="12"/>
        <v>45231</v>
      </c>
      <c r="C628" s="1" t="s">
        <v>682</v>
      </c>
      <c r="D628" s="1" t="s">
        <v>183</v>
      </c>
      <c r="E628" s="1" t="s">
        <v>184</v>
      </c>
      <c r="F628" s="4">
        <v>45231.399305555555</v>
      </c>
      <c r="G628" s="4">
        <v>45231.399305555555</v>
      </c>
      <c r="H628" s="1" t="s">
        <v>21</v>
      </c>
      <c r="I628" s="1" t="s">
        <v>22</v>
      </c>
      <c r="J628" s="1" t="s">
        <v>69</v>
      </c>
      <c r="L628" s="2">
        <v>3419.2</v>
      </c>
    </row>
    <row r="629" spans="1:12" x14ac:dyDescent="0.2">
      <c r="A629" s="6" t="str">
        <f>VLOOKUP(J629,[1]Clientes!$C:$H,6,0)</f>
        <v>CBA</v>
      </c>
      <c r="B629" s="7">
        <f t="shared" ref="B629:B692" si="13">QUOTIENT(F629,1)</f>
        <v>45231</v>
      </c>
      <c r="C629" s="1" t="s">
        <v>683</v>
      </c>
      <c r="D629" s="1" t="s">
        <v>183</v>
      </c>
      <c r="E629" s="1" t="s">
        <v>184</v>
      </c>
      <c r="F629" s="4">
        <v>45231.404166666667</v>
      </c>
      <c r="G629" s="4">
        <v>45231.404166666667</v>
      </c>
      <c r="H629" s="1" t="s">
        <v>21</v>
      </c>
      <c r="I629" s="1" t="s">
        <v>22</v>
      </c>
      <c r="J629" s="1" t="s">
        <v>69</v>
      </c>
      <c r="L629" s="2">
        <v>3417.35</v>
      </c>
    </row>
    <row r="630" spans="1:12" x14ac:dyDescent="0.2">
      <c r="A630" s="6" t="str">
        <f>VLOOKUP(J630,[1]Clientes!$C:$H,6,0)</f>
        <v>LANXESS</v>
      </c>
      <c r="B630" s="7">
        <f t="shared" si="13"/>
        <v>45231</v>
      </c>
      <c r="C630" s="1" t="s">
        <v>684</v>
      </c>
      <c r="D630" s="1" t="s">
        <v>183</v>
      </c>
      <c r="E630" s="1" t="s">
        <v>184</v>
      </c>
      <c r="F630" s="4">
        <v>45231.415972222225</v>
      </c>
      <c r="G630" s="4">
        <v>45231.415972222225</v>
      </c>
      <c r="H630" s="1" t="s">
        <v>21</v>
      </c>
      <c r="I630" s="1" t="s">
        <v>22</v>
      </c>
      <c r="J630" s="1" t="s">
        <v>221</v>
      </c>
      <c r="L630" s="2">
        <v>1450.44</v>
      </c>
    </row>
    <row r="631" spans="1:12" x14ac:dyDescent="0.2">
      <c r="A631" s="6" t="str">
        <f>VLOOKUP(J631,[1]Clientes!$C:$H,6,0)</f>
        <v>LANXESS</v>
      </c>
      <c r="B631" s="7">
        <f t="shared" si="13"/>
        <v>45231</v>
      </c>
      <c r="C631" s="1" t="s">
        <v>685</v>
      </c>
      <c r="D631" s="1" t="s">
        <v>183</v>
      </c>
      <c r="E631" s="1" t="s">
        <v>184</v>
      </c>
      <c r="F631" s="4">
        <v>45231.426388888889</v>
      </c>
      <c r="G631" s="4">
        <v>45231.426388888889</v>
      </c>
      <c r="H631" s="1" t="s">
        <v>21</v>
      </c>
      <c r="I631" s="1" t="s">
        <v>22</v>
      </c>
      <c r="J631" s="1" t="s">
        <v>221</v>
      </c>
      <c r="L631" s="2">
        <v>2206.7399999999998</v>
      </c>
    </row>
    <row r="632" spans="1:12" x14ac:dyDescent="0.2">
      <c r="A632" s="6" t="str">
        <f>VLOOKUP(J632,[1]Clientes!$C:$H,6,0)</f>
        <v>IMERYS</v>
      </c>
      <c r="B632" s="7">
        <f t="shared" si="13"/>
        <v>45231</v>
      </c>
      <c r="C632" s="1" t="s">
        <v>686</v>
      </c>
      <c r="D632" s="1" t="s">
        <v>183</v>
      </c>
      <c r="E632" s="1" t="s">
        <v>184</v>
      </c>
      <c r="F632" s="4">
        <v>45231.438888888886</v>
      </c>
      <c r="G632" s="4">
        <v>45231.438888888886</v>
      </c>
      <c r="H632" s="1" t="s">
        <v>21</v>
      </c>
      <c r="I632" s="1" t="s">
        <v>22</v>
      </c>
      <c r="J632" s="1" t="s">
        <v>188</v>
      </c>
      <c r="L632" s="2">
        <v>754.15</v>
      </c>
    </row>
    <row r="633" spans="1:12" x14ac:dyDescent="0.2">
      <c r="A633" s="6" t="s">
        <v>1</v>
      </c>
      <c r="B633" s="7">
        <f t="shared" si="13"/>
        <v>45231</v>
      </c>
      <c r="C633" s="1" t="s">
        <v>687</v>
      </c>
      <c r="D633" s="1" t="s">
        <v>19</v>
      </c>
      <c r="E633" s="1" t="s">
        <v>20</v>
      </c>
      <c r="F633" s="4">
        <v>45231.486111111109</v>
      </c>
      <c r="G633" s="4">
        <v>45231.486111111109</v>
      </c>
      <c r="H633" s="1" t="s">
        <v>21</v>
      </c>
      <c r="I633" s="1" t="s">
        <v>22</v>
      </c>
      <c r="J633" s="1" t="s">
        <v>25</v>
      </c>
      <c r="L633" s="2">
        <v>2162.42</v>
      </c>
    </row>
    <row r="634" spans="1:12" x14ac:dyDescent="0.2">
      <c r="A634" s="6" t="s">
        <v>1</v>
      </c>
      <c r="B634" s="7">
        <f t="shared" si="13"/>
        <v>45231</v>
      </c>
      <c r="C634" s="1" t="s">
        <v>688</v>
      </c>
      <c r="D634" s="1" t="s">
        <v>19</v>
      </c>
      <c r="E634" s="1" t="s">
        <v>20</v>
      </c>
      <c r="F634" s="4">
        <v>45231.493055555555</v>
      </c>
      <c r="G634" s="4">
        <v>45231.493055555555</v>
      </c>
      <c r="H634" s="1" t="s">
        <v>21</v>
      </c>
      <c r="I634" s="1" t="s">
        <v>22</v>
      </c>
      <c r="J634" s="1" t="s">
        <v>25</v>
      </c>
      <c r="L634" s="2">
        <v>2116.4</v>
      </c>
    </row>
    <row r="635" spans="1:12" x14ac:dyDescent="0.2">
      <c r="A635" s="6" t="str">
        <f>VLOOKUP(J635,[1]Clientes!$C:$H,6,0)</f>
        <v>CBA</v>
      </c>
      <c r="B635" s="7">
        <f t="shared" si="13"/>
        <v>45231</v>
      </c>
      <c r="C635" s="1" t="s">
        <v>689</v>
      </c>
      <c r="D635" s="1" t="s">
        <v>183</v>
      </c>
      <c r="E635" s="1" t="s">
        <v>184</v>
      </c>
      <c r="F635" s="4">
        <v>45231.504166666666</v>
      </c>
      <c r="G635" s="4">
        <v>45231.504166666666</v>
      </c>
      <c r="H635" s="1" t="s">
        <v>21</v>
      </c>
      <c r="I635" s="1" t="s">
        <v>22</v>
      </c>
      <c r="J635" s="1" t="s">
        <v>69</v>
      </c>
      <c r="L635" s="2">
        <v>1864.78</v>
      </c>
    </row>
    <row r="636" spans="1:12" x14ac:dyDescent="0.2">
      <c r="A636" s="6" t="str">
        <f>VLOOKUP(J636,[1]Clientes!$C:$H,6,0)</f>
        <v>CBA</v>
      </c>
      <c r="B636" s="7">
        <f t="shared" si="13"/>
        <v>45231</v>
      </c>
      <c r="C636" s="1" t="s">
        <v>690</v>
      </c>
      <c r="D636" s="1" t="s">
        <v>183</v>
      </c>
      <c r="E636" s="1" t="s">
        <v>184</v>
      </c>
      <c r="F636" s="4">
        <v>45231.511111111111</v>
      </c>
      <c r="G636" s="4">
        <v>45231.511111111111</v>
      </c>
      <c r="H636" s="1" t="s">
        <v>21</v>
      </c>
      <c r="I636" s="1" t="s">
        <v>22</v>
      </c>
      <c r="J636" s="1" t="s">
        <v>69</v>
      </c>
      <c r="L636" s="2">
        <v>1863.61</v>
      </c>
    </row>
    <row r="637" spans="1:12" x14ac:dyDescent="0.2">
      <c r="A637" s="6" t="str">
        <f>VLOOKUP(J637,[1]Clientes!$C:$H,6,0)</f>
        <v>CBA</v>
      </c>
      <c r="B637" s="7">
        <f t="shared" si="13"/>
        <v>45231</v>
      </c>
      <c r="C637" s="1" t="s">
        <v>691</v>
      </c>
      <c r="D637" s="1" t="s">
        <v>183</v>
      </c>
      <c r="E637" s="1" t="s">
        <v>184</v>
      </c>
      <c r="F637" s="4">
        <v>45231.513888888891</v>
      </c>
      <c r="G637" s="4">
        <v>45231.513888888891</v>
      </c>
      <c r="H637" s="1" t="s">
        <v>21</v>
      </c>
      <c r="I637" s="1" t="s">
        <v>22</v>
      </c>
      <c r="J637" s="1" t="s">
        <v>69</v>
      </c>
      <c r="L637" s="2">
        <v>3452.45</v>
      </c>
    </row>
    <row r="638" spans="1:12" x14ac:dyDescent="0.2">
      <c r="A638" s="6" t="str">
        <f>VLOOKUP(J638,[1]Clientes!$C:$H,6,0)</f>
        <v>VERDE FORTE</v>
      </c>
      <c r="B638" s="7">
        <f t="shared" si="13"/>
        <v>45231</v>
      </c>
      <c r="C638" s="1" t="s">
        <v>692</v>
      </c>
      <c r="D638" s="1" t="s">
        <v>183</v>
      </c>
      <c r="E638" s="1" t="s">
        <v>184</v>
      </c>
      <c r="F638" s="4">
        <v>45231.515277777777</v>
      </c>
      <c r="G638" s="4">
        <v>45231.515277777777</v>
      </c>
      <c r="H638" s="1" t="s">
        <v>21</v>
      </c>
      <c r="I638" s="1" t="s">
        <v>22</v>
      </c>
      <c r="J638" s="1" t="s">
        <v>27</v>
      </c>
      <c r="L638" s="2">
        <v>845.27</v>
      </c>
    </row>
    <row r="639" spans="1:12" x14ac:dyDescent="0.2">
      <c r="A639" s="6" t="str">
        <f>VLOOKUP(J639,[1]Clientes!$C:$H,6,0)</f>
        <v>CBA</v>
      </c>
      <c r="B639" s="7">
        <f t="shared" si="13"/>
        <v>45231</v>
      </c>
      <c r="C639" s="1" t="s">
        <v>693</v>
      </c>
      <c r="D639" s="1" t="s">
        <v>19</v>
      </c>
      <c r="E639" s="1" t="s">
        <v>20</v>
      </c>
      <c r="F639" s="4">
        <v>45231.544444444444</v>
      </c>
      <c r="G639" s="4">
        <v>45231.544444444444</v>
      </c>
      <c r="H639" s="1" t="s">
        <v>21</v>
      </c>
      <c r="I639" s="1" t="s">
        <v>22</v>
      </c>
      <c r="J639" s="1" t="s">
        <v>69</v>
      </c>
      <c r="L639" s="2">
        <v>3300.11</v>
      </c>
    </row>
    <row r="640" spans="1:12" x14ac:dyDescent="0.2">
      <c r="A640" s="6" t="str">
        <f>VLOOKUP(J640,[1]Clientes!$C:$H,6,0)</f>
        <v>CBA</v>
      </c>
      <c r="B640" s="7">
        <f t="shared" si="13"/>
        <v>45231</v>
      </c>
      <c r="C640" s="1" t="s">
        <v>694</v>
      </c>
      <c r="D640" s="1" t="s">
        <v>183</v>
      </c>
      <c r="E640" s="1" t="s">
        <v>184</v>
      </c>
      <c r="F640" s="4">
        <v>45231.575694444444</v>
      </c>
      <c r="G640" s="4">
        <v>45231.575694444444</v>
      </c>
      <c r="H640" s="1" t="s">
        <v>21</v>
      </c>
      <c r="I640" s="1" t="s">
        <v>22</v>
      </c>
      <c r="J640" s="1" t="s">
        <v>69</v>
      </c>
      <c r="L640" s="2">
        <v>3452.55</v>
      </c>
    </row>
    <row r="641" spans="1:12" x14ac:dyDescent="0.2">
      <c r="A641" s="6" t="str">
        <f>VLOOKUP(J641,[1]Clientes!$C:$H,6,0)</f>
        <v>UNIPAR</v>
      </c>
      <c r="B641" s="7">
        <f t="shared" si="13"/>
        <v>45231</v>
      </c>
      <c r="C641" s="1" t="s">
        <v>695</v>
      </c>
      <c r="D641" s="1" t="s">
        <v>183</v>
      </c>
      <c r="E641" s="1" t="s">
        <v>184</v>
      </c>
      <c r="F641" s="4">
        <v>45231.576388888891</v>
      </c>
      <c r="G641" s="4">
        <v>45231.576388888891</v>
      </c>
      <c r="H641" s="1" t="s">
        <v>21</v>
      </c>
      <c r="I641" s="1" t="s">
        <v>22</v>
      </c>
      <c r="J641" s="1" t="s">
        <v>63</v>
      </c>
      <c r="L641" s="2">
        <v>8526.23</v>
      </c>
    </row>
    <row r="642" spans="1:12" x14ac:dyDescent="0.2">
      <c r="A642" s="6" t="str">
        <f>VLOOKUP(J642,[1]Clientes!$C:$H,6,0)</f>
        <v>CBA</v>
      </c>
      <c r="B642" s="7">
        <f t="shared" si="13"/>
        <v>45231</v>
      </c>
      <c r="C642" s="1" t="s">
        <v>696</v>
      </c>
      <c r="D642" s="1" t="s">
        <v>19</v>
      </c>
      <c r="E642" s="1" t="s">
        <v>20</v>
      </c>
      <c r="F642" s="4">
        <v>45231.603472222225</v>
      </c>
      <c r="G642" s="4">
        <v>45231.603472222225</v>
      </c>
      <c r="H642" s="1" t="s">
        <v>21</v>
      </c>
      <c r="I642" s="1" t="s">
        <v>22</v>
      </c>
      <c r="J642" s="1" t="s">
        <v>69</v>
      </c>
      <c r="L642" s="2">
        <v>3297.82</v>
      </c>
    </row>
    <row r="643" spans="1:12" x14ac:dyDescent="0.2">
      <c r="A643" s="6" t="str">
        <f>VLOOKUP(J643,[1]Clientes!$C:$H,6,0)</f>
        <v>LANXESS</v>
      </c>
      <c r="B643" s="7">
        <f t="shared" si="13"/>
        <v>45231</v>
      </c>
      <c r="C643" s="1" t="s">
        <v>697</v>
      </c>
      <c r="D643" s="1" t="s">
        <v>183</v>
      </c>
      <c r="E643" s="1" t="s">
        <v>184</v>
      </c>
      <c r="F643" s="4">
        <v>45231.62222222222</v>
      </c>
      <c r="G643" s="4">
        <v>45231.62222222222</v>
      </c>
      <c r="H643" s="1" t="s">
        <v>21</v>
      </c>
      <c r="I643" s="1" t="s">
        <v>22</v>
      </c>
      <c r="J643" s="1" t="s">
        <v>200</v>
      </c>
      <c r="L643" s="2">
        <v>5322.39</v>
      </c>
    </row>
    <row r="644" spans="1:12" x14ac:dyDescent="0.2">
      <c r="A644" s="6" t="str">
        <f>VLOOKUP(J644,[1]Clientes!$C:$H,6,0)</f>
        <v>IMERYS</v>
      </c>
      <c r="B644" s="7">
        <f t="shared" si="13"/>
        <v>45231</v>
      </c>
      <c r="C644" s="1" t="s">
        <v>698</v>
      </c>
      <c r="D644" s="1" t="s">
        <v>183</v>
      </c>
      <c r="E644" s="1" t="s">
        <v>184</v>
      </c>
      <c r="F644" s="4">
        <v>45231.65902777778</v>
      </c>
      <c r="G644" s="4">
        <v>45231.65902777778</v>
      </c>
      <c r="H644" s="1" t="s">
        <v>21</v>
      </c>
      <c r="I644" s="1" t="s">
        <v>22</v>
      </c>
      <c r="J644" s="1" t="s">
        <v>188</v>
      </c>
      <c r="L644" s="2">
        <v>6123.66</v>
      </c>
    </row>
    <row r="645" spans="1:12" x14ac:dyDescent="0.2">
      <c r="A645" s="6" t="str">
        <f>VLOOKUP(J645,[1]Clientes!$C:$H,6,0)</f>
        <v>CBA</v>
      </c>
      <c r="B645" s="7">
        <f t="shared" si="13"/>
        <v>45231</v>
      </c>
      <c r="C645" s="1" t="s">
        <v>699</v>
      </c>
      <c r="D645" s="1" t="s">
        <v>183</v>
      </c>
      <c r="E645" s="1" t="s">
        <v>184</v>
      </c>
      <c r="F645" s="4">
        <v>45231.665972222225</v>
      </c>
      <c r="G645" s="4">
        <v>45231.665972222225</v>
      </c>
      <c r="H645" s="1" t="s">
        <v>21</v>
      </c>
      <c r="I645" s="1" t="s">
        <v>22</v>
      </c>
      <c r="J645" s="1" t="s">
        <v>69</v>
      </c>
      <c r="L645" s="2">
        <v>1970.25</v>
      </c>
    </row>
    <row r="646" spans="1:12" x14ac:dyDescent="0.2">
      <c r="A646" s="6" t="str">
        <f>VLOOKUP(J646,[1]Clientes!$C:$H,6,0)</f>
        <v>CBA</v>
      </c>
      <c r="B646" s="7">
        <f t="shared" si="13"/>
        <v>45231</v>
      </c>
      <c r="C646" s="1" t="s">
        <v>700</v>
      </c>
      <c r="D646" s="1" t="s">
        <v>183</v>
      </c>
      <c r="E646" s="1" t="s">
        <v>184</v>
      </c>
      <c r="F646" s="4">
        <v>45231.695833333331</v>
      </c>
      <c r="G646" s="4">
        <v>45231.695833333331</v>
      </c>
      <c r="H646" s="1" t="s">
        <v>21</v>
      </c>
      <c r="I646" s="1" t="s">
        <v>22</v>
      </c>
      <c r="J646" s="1" t="s">
        <v>69</v>
      </c>
      <c r="L646" s="2">
        <v>3238.63</v>
      </c>
    </row>
    <row r="647" spans="1:12" x14ac:dyDescent="0.2">
      <c r="A647" s="6" t="str">
        <f>VLOOKUP(J647,[1]Clientes!$C:$H,6,0)</f>
        <v>CBA</v>
      </c>
      <c r="B647" s="7">
        <f t="shared" si="13"/>
        <v>45231</v>
      </c>
      <c r="C647" s="1" t="s">
        <v>701</v>
      </c>
      <c r="D647" s="1" t="s">
        <v>183</v>
      </c>
      <c r="E647" s="1" t="s">
        <v>184</v>
      </c>
      <c r="F647" s="4">
        <v>45231.729861111111</v>
      </c>
      <c r="G647" s="4">
        <v>45231.729861111111</v>
      </c>
      <c r="H647" s="1" t="s">
        <v>21</v>
      </c>
      <c r="I647" s="1" t="s">
        <v>22</v>
      </c>
      <c r="J647" s="1" t="s">
        <v>69</v>
      </c>
      <c r="L647" s="2">
        <v>3419.39</v>
      </c>
    </row>
    <row r="648" spans="1:12" x14ac:dyDescent="0.2">
      <c r="A648" s="6" t="str">
        <f>VLOOKUP(J648,[1]Clientes!$C:$H,6,0)</f>
        <v>IMERYS</v>
      </c>
      <c r="B648" s="7">
        <f t="shared" si="13"/>
        <v>45231</v>
      </c>
      <c r="C648" s="1" t="s">
        <v>702</v>
      </c>
      <c r="D648" s="1" t="s">
        <v>183</v>
      </c>
      <c r="E648" s="1" t="s">
        <v>184</v>
      </c>
      <c r="F648" s="4">
        <v>45231.745833333334</v>
      </c>
      <c r="G648" s="4">
        <v>45231.745833333334</v>
      </c>
      <c r="H648" s="1" t="s">
        <v>21</v>
      </c>
      <c r="I648" s="1" t="s">
        <v>22</v>
      </c>
      <c r="J648" s="1" t="s">
        <v>188</v>
      </c>
      <c r="L648" s="2">
        <v>1463.53</v>
      </c>
    </row>
    <row r="649" spans="1:12" x14ac:dyDescent="0.2">
      <c r="A649" s="6" t="str">
        <f>VLOOKUP(J649,[1]Clientes!$C:$H,6,0)</f>
        <v>IMERYS</v>
      </c>
      <c r="B649" s="7">
        <f t="shared" si="13"/>
        <v>45231</v>
      </c>
      <c r="C649" s="1" t="s">
        <v>703</v>
      </c>
      <c r="D649" s="1" t="s">
        <v>183</v>
      </c>
      <c r="E649" s="1" t="s">
        <v>184</v>
      </c>
      <c r="F649" s="4">
        <v>45231.76458333333</v>
      </c>
      <c r="G649" s="4">
        <v>45231.76458333333</v>
      </c>
      <c r="H649" s="1" t="s">
        <v>21</v>
      </c>
      <c r="I649" s="1" t="s">
        <v>22</v>
      </c>
      <c r="J649" s="1" t="s">
        <v>188</v>
      </c>
      <c r="L649" s="2">
        <v>1071.93</v>
      </c>
    </row>
    <row r="650" spans="1:12" x14ac:dyDescent="0.2">
      <c r="A650" s="6" t="s">
        <v>1</v>
      </c>
      <c r="B650" s="7">
        <f t="shared" si="13"/>
        <v>45231</v>
      </c>
      <c r="C650" s="1" t="s">
        <v>704</v>
      </c>
      <c r="D650" s="1" t="s">
        <v>19</v>
      </c>
      <c r="E650" s="1" t="s">
        <v>20</v>
      </c>
      <c r="F650" s="4">
        <v>45231.85833333333</v>
      </c>
      <c r="G650" s="4">
        <v>45231.85833333333</v>
      </c>
      <c r="H650" s="1" t="s">
        <v>21</v>
      </c>
      <c r="I650" s="1" t="s">
        <v>22</v>
      </c>
      <c r="J650" s="1" t="s">
        <v>25</v>
      </c>
      <c r="L650" s="2">
        <v>2119.3000000000002</v>
      </c>
    </row>
    <row r="651" spans="1:12" x14ac:dyDescent="0.2">
      <c r="A651" s="6" t="str">
        <f>VLOOKUP(J651,[1]Clientes!$C:$H,6,0)</f>
        <v>AMBEV</v>
      </c>
      <c r="B651" s="7">
        <f t="shared" si="13"/>
        <v>45231</v>
      </c>
      <c r="C651" s="1" t="s">
        <v>705</v>
      </c>
      <c r="D651" s="1" t="s">
        <v>183</v>
      </c>
      <c r="E651" s="1" t="s">
        <v>184</v>
      </c>
      <c r="F651" s="4">
        <v>45231.865277777775</v>
      </c>
      <c r="G651" s="4">
        <v>45231.865277777775</v>
      </c>
      <c r="H651" s="1" t="s">
        <v>21</v>
      </c>
      <c r="I651" s="1" t="s">
        <v>22</v>
      </c>
      <c r="J651" s="1" t="s">
        <v>515</v>
      </c>
      <c r="L651" s="2">
        <v>10948.19</v>
      </c>
    </row>
    <row r="652" spans="1:12" x14ac:dyDescent="0.2">
      <c r="A652" s="6" t="str">
        <f>VLOOKUP(J652,[1]Clientes!$C:$H,6,0)</f>
        <v>AMBEV</v>
      </c>
      <c r="B652" s="7">
        <f t="shared" si="13"/>
        <v>45232</v>
      </c>
      <c r="C652" s="1" t="s">
        <v>706</v>
      </c>
      <c r="D652" s="1" t="s">
        <v>183</v>
      </c>
      <c r="E652" s="1" t="s">
        <v>184</v>
      </c>
      <c r="F652" s="4">
        <v>45232.053472222222</v>
      </c>
      <c r="G652" s="4">
        <v>45232.053472222222</v>
      </c>
      <c r="H652" s="1" t="s">
        <v>21</v>
      </c>
      <c r="I652" s="1" t="s">
        <v>22</v>
      </c>
      <c r="J652" s="1" t="s">
        <v>340</v>
      </c>
      <c r="L652" s="2">
        <v>16919.93</v>
      </c>
    </row>
    <row r="653" spans="1:12" x14ac:dyDescent="0.2">
      <c r="A653" s="6" t="s">
        <v>1</v>
      </c>
      <c r="B653" s="7">
        <f t="shared" si="13"/>
        <v>45232</v>
      </c>
      <c r="C653" s="1" t="s">
        <v>707</v>
      </c>
      <c r="D653" s="1" t="s">
        <v>19</v>
      </c>
      <c r="E653" s="1" t="s">
        <v>20</v>
      </c>
      <c r="F653" s="4">
        <v>45232.365277777775</v>
      </c>
      <c r="G653" s="4">
        <v>45232.365277777775</v>
      </c>
      <c r="H653" s="1" t="s">
        <v>21</v>
      </c>
      <c r="I653" s="1" t="s">
        <v>22</v>
      </c>
      <c r="J653" s="1" t="s">
        <v>25</v>
      </c>
      <c r="L653" s="2">
        <v>3012.95</v>
      </c>
    </row>
    <row r="654" spans="1:12" x14ac:dyDescent="0.2">
      <c r="A654" s="6" t="s">
        <v>1</v>
      </c>
      <c r="B654" s="7">
        <f t="shared" si="13"/>
        <v>45232</v>
      </c>
      <c r="C654" s="1" t="s">
        <v>708</v>
      </c>
      <c r="D654" s="1" t="s">
        <v>19</v>
      </c>
      <c r="E654" s="1" t="s">
        <v>20</v>
      </c>
      <c r="F654" s="4">
        <v>45232.378472222219</v>
      </c>
      <c r="G654" s="4">
        <v>45232.378472222219</v>
      </c>
      <c r="H654" s="1" t="s">
        <v>21</v>
      </c>
      <c r="I654" s="1" t="s">
        <v>22</v>
      </c>
      <c r="J654" s="1" t="s">
        <v>25</v>
      </c>
      <c r="L654" s="2">
        <v>741.82</v>
      </c>
    </row>
    <row r="655" spans="1:12" x14ac:dyDescent="0.2">
      <c r="A655" s="6" t="s">
        <v>1</v>
      </c>
      <c r="B655" s="7">
        <f t="shared" si="13"/>
        <v>45232</v>
      </c>
      <c r="C655" s="1" t="s">
        <v>709</v>
      </c>
      <c r="D655" s="1" t="s">
        <v>19</v>
      </c>
      <c r="E655" s="1" t="s">
        <v>20</v>
      </c>
      <c r="F655" s="4">
        <v>45232.380555555559</v>
      </c>
      <c r="G655" s="4">
        <v>45232.380555555559</v>
      </c>
      <c r="H655" s="1" t="s">
        <v>21</v>
      </c>
      <c r="I655" s="1" t="s">
        <v>22</v>
      </c>
      <c r="J655" s="1" t="s">
        <v>25</v>
      </c>
      <c r="L655" s="2">
        <v>741.82</v>
      </c>
    </row>
    <row r="656" spans="1:12" x14ac:dyDescent="0.2">
      <c r="A656" s="6" t="s">
        <v>1</v>
      </c>
      <c r="B656" s="7">
        <f t="shared" si="13"/>
        <v>45232</v>
      </c>
      <c r="C656" s="1" t="s">
        <v>710</v>
      </c>
      <c r="D656" s="1" t="s">
        <v>19</v>
      </c>
      <c r="E656" s="1" t="s">
        <v>20</v>
      </c>
      <c r="F656" s="4">
        <v>45232.381944444445</v>
      </c>
      <c r="G656" s="4">
        <v>45232.381944444445</v>
      </c>
      <c r="H656" s="1" t="s">
        <v>21</v>
      </c>
      <c r="I656" s="1" t="s">
        <v>22</v>
      </c>
      <c r="J656" s="1" t="s">
        <v>25</v>
      </c>
      <c r="L656" s="2">
        <v>741.82</v>
      </c>
    </row>
    <row r="657" spans="1:12" x14ac:dyDescent="0.2">
      <c r="A657" s="6" t="s">
        <v>1</v>
      </c>
      <c r="B657" s="7">
        <f t="shared" si="13"/>
        <v>45232</v>
      </c>
      <c r="C657" s="1" t="s">
        <v>711</v>
      </c>
      <c r="D657" s="1" t="s">
        <v>19</v>
      </c>
      <c r="E657" s="1" t="s">
        <v>20</v>
      </c>
      <c r="F657" s="4">
        <v>45232.384027777778</v>
      </c>
      <c r="G657" s="4">
        <v>45232.384027777778</v>
      </c>
      <c r="H657" s="1" t="s">
        <v>21</v>
      </c>
      <c r="I657" s="1" t="s">
        <v>22</v>
      </c>
      <c r="J657" s="1" t="s">
        <v>25</v>
      </c>
      <c r="L657" s="2">
        <v>1191.82</v>
      </c>
    </row>
    <row r="658" spans="1:12" x14ac:dyDescent="0.2">
      <c r="A658" s="6" t="s">
        <v>1</v>
      </c>
      <c r="B658" s="7">
        <f t="shared" si="13"/>
        <v>45232</v>
      </c>
      <c r="C658" s="1" t="s">
        <v>712</v>
      </c>
      <c r="D658" s="1" t="s">
        <v>19</v>
      </c>
      <c r="E658" s="1" t="s">
        <v>20</v>
      </c>
      <c r="F658" s="4">
        <v>45232.386111111111</v>
      </c>
      <c r="G658" s="4">
        <v>45232.386111111111</v>
      </c>
      <c r="H658" s="1" t="s">
        <v>21</v>
      </c>
      <c r="I658" s="1" t="s">
        <v>22</v>
      </c>
      <c r="J658" s="1" t="s">
        <v>25</v>
      </c>
      <c r="L658" s="2">
        <v>358.98</v>
      </c>
    </row>
    <row r="659" spans="1:12" x14ac:dyDescent="0.2">
      <c r="A659" s="6" t="s">
        <v>1</v>
      </c>
      <c r="B659" s="7">
        <f t="shared" si="13"/>
        <v>45232</v>
      </c>
      <c r="C659" s="1" t="s">
        <v>713</v>
      </c>
      <c r="D659" s="1" t="s">
        <v>19</v>
      </c>
      <c r="E659" s="1" t="s">
        <v>20</v>
      </c>
      <c r="F659" s="4">
        <v>45232.388194444444</v>
      </c>
      <c r="G659" s="4">
        <v>45232.388194444444</v>
      </c>
      <c r="H659" s="1" t="s">
        <v>21</v>
      </c>
      <c r="I659" s="1" t="s">
        <v>22</v>
      </c>
      <c r="J659" s="1" t="s">
        <v>25</v>
      </c>
      <c r="L659" s="2">
        <v>603.07000000000005</v>
      </c>
    </row>
    <row r="660" spans="1:12" x14ac:dyDescent="0.2">
      <c r="A660" s="6" t="s">
        <v>1</v>
      </c>
      <c r="B660" s="7">
        <f t="shared" si="13"/>
        <v>45232</v>
      </c>
      <c r="C660" s="1" t="s">
        <v>714</v>
      </c>
      <c r="D660" s="1" t="s">
        <v>19</v>
      </c>
      <c r="E660" s="1" t="s">
        <v>20</v>
      </c>
      <c r="F660" s="4">
        <v>45232.390972222223</v>
      </c>
      <c r="G660" s="4">
        <v>45232.390972222223</v>
      </c>
      <c r="H660" s="1" t="s">
        <v>21</v>
      </c>
      <c r="I660" s="1" t="s">
        <v>22</v>
      </c>
      <c r="J660" s="1" t="s">
        <v>25</v>
      </c>
      <c r="L660" s="2">
        <v>329.47</v>
      </c>
    </row>
    <row r="661" spans="1:12" x14ac:dyDescent="0.2">
      <c r="A661" s="6" t="s">
        <v>1</v>
      </c>
      <c r="B661" s="7">
        <f t="shared" si="13"/>
        <v>45232</v>
      </c>
      <c r="C661" s="1" t="s">
        <v>715</v>
      </c>
      <c r="D661" s="1" t="s">
        <v>19</v>
      </c>
      <c r="E661" s="1" t="s">
        <v>20</v>
      </c>
      <c r="F661" s="4">
        <v>45232.394444444442</v>
      </c>
      <c r="G661" s="4">
        <v>45232.394444444442</v>
      </c>
      <c r="H661" s="1" t="s">
        <v>21</v>
      </c>
      <c r="I661" s="1" t="s">
        <v>22</v>
      </c>
      <c r="J661" s="1" t="s">
        <v>25</v>
      </c>
      <c r="L661" s="2">
        <v>498.61</v>
      </c>
    </row>
    <row r="662" spans="1:12" x14ac:dyDescent="0.2">
      <c r="A662" s="6" t="s">
        <v>1</v>
      </c>
      <c r="B662" s="7">
        <f t="shared" si="13"/>
        <v>45232</v>
      </c>
      <c r="C662" s="1" t="s">
        <v>716</v>
      </c>
      <c r="D662" s="1" t="s">
        <v>19</v>
      </c>
      <c r="E662" s="1" t="s">
        <v>20</v>
      </c>
      <c r="F662" s="4">
        <v>45232.396527777775</v>
      </c>
      <c r="G662" s="4">
        <v>45232.396527777775</v>
      </c>
      <c r="H662" s="1" t="s">
        <v>21</v>
      </c>
      <c r="I662" s="1" t="s">
        <v>22</v>
      </c>
      <c r="J662" s="1" t="s">
        <v>25</v>
      </c>
      <c r="L662" s="2">
        <v>603.07000000000005</v>
      </c>
    </row>
    <row r="663" spans="1:12" x14ac:dyDescent="0.2">
      <c r="A663" s="6" t="s">
        <v>1</v>
      </c>
      <c r="B663" s="7">
        <f t="shared" si="13"/>
        <v>45232</v>
      </c>
      <c r="C663" s="1" t="s">
        <v>717</v>
      </c>
      <c r="D663" s="1" t="s">
        <v>19</v>
      </c>
      <c r="E663" s="1" t="s">
        <v>20</v>
      </c>
      <c r="F663" s="4">
        <v>45232.399305555555</v>
      </c>
      <c r="G663" s="4">
        <v>45232.399305555555</v>
      </c>
      <c r="H663" s="1" t="s">
        <v>21</v>
      </c>
      <c r="I663" s="1" t="s">
        <v>22</v>
      </c>
      <c r="J663" s="1" t="s">
        <v>25</v>
      </c>
      <c r="L663" s="2">
        <v>381.36</v>
      </c>
    </row>
    <row r="664" spans="1:12" x14ac:dyDescent="0.2">
      <c r="A664" s="6" t="s">
        <v>1</v>
      </c>
      <c r="B664" s="7">
        <f t="shared" si="13"/>
        <v>45232</v>
      </c>
      <c r="C664" s="1" t="s">
        <v>718</v>
      </c>
      <c r="D664" s="1" t="s">
        <v>19</v>
      </c>
      <c r="E664" s="1" t="s">
        <v>20</v>
      </c>
      <c r="F664" s="4">
        <v>45232.401388888888</v>
      </c>
      <c r="G664" s="4">
        <v>45232.401388888888</v>
      </c>
      <c r="H664" s="1" t="s">
        <v>21</v>
      </c>
      <c r="I664" s="1" t="s">
        <v>22</v>
      </c>
      <c r="J664" s="1" t="s">
        <v>25</v>
      </c>
      <c r="L664" s="2">
        <v>551.76</v>
      </c>
    </row>
    <row r="665" spans="1:12" x14ac:dyDescent="0.2">
      <c r="A665" s="6" t="str">
        <f>VLOOKUP(J665,[1]Clientes!$C:$H,6,0)</f>
        <v>IMERYS</v>
      </c>
      <c r="B665" s="7">
        <f t="shared" si="13"/>
        <v>45232</v>
      </c>
      <c r="C665" s="1" t="s">
        <v>719</v>
      </c>
      <c r="D665" s="1" t="s">
        <v>183</v>
      </c>
      <c r="E665" s="1" t="s">
        <v>184</v>
      </c>
      <c r="F665" s="4">
        <v>45232.420138888891</v>
      </c>
      <c r="G665" s="4">
        <v>45232.420138888891</v>
      </c>
      <c r="H665" s="1" t="s">
        <v>21</v>
      </c>
      <c r="I665" s="1" t="s">
        <v>22</v>
      </c>
      <c r="J665" s="1" t="s">
        <v>188</v>
      </c>
      <c r="L665" s="2">
        <v>1448.86</v>
      </c>
    </row>
    <row r="666" spans="1:12" x14ac:dyDescent="0.2">
      <c r="A666" s="6" t="str">
        <f>VLOOKUP(J666,[1]Clientes!$C:$H,6,0)</f>
        <v>AMBEV</v>
      </c>
      <c r="B666" s="7">
        <f t="shared" si="13"/>
        <v>45232</v>
      </c>
      <c r="C666" s="1" t="s">
        <v>720</v>
      </c>
      <c r="D666" s="1" t="s">
        <v>183</v>
      </c>
      <c r="E666" s="1" t="s">
        <v>184</v>
      </c>
      <c r="F666" s="4">
        <v>45232.560416666667</v>
      </c>
      <c r="G666" s="4">
        <v>45232.560416666667</v>
      </c>
      <c r="H666" s="1" t="s">
        <v>21</v>
      </c>
      <c r="I666" s="1" t="s">
        <v>22</v>
      </c>
      <c r="J666" s="1" t="s">
        <v>721</v>
      </c>
      <c r="L666" s="2">
        <v>16919.93</v>
      </c>
    </row>
    <row r="667" spans="1:12" x14ac:dyDescent="0.2">
      <c r="A667" s="6" t="s">
        <v>1</v>
      </c>
      <c r="B667" s="7">
        <f t="shared" si="13"/>
        <v>45232</v>
      </c>
      <c r="C667" s="1" t="s">
        <v>722</v>
      </c>
      <c r="D667" s="1" t="s">
        <v>19</v>
      </c>
      <c r="E667" s="1" t="s">
        <v>20</v>
      </c>
      <c r="F667" s="4">
        <v>45232.640277777777</v>
      </c>
      <c r="G667" s="4">
        <v>45232.640277777777</v>
      </c>
      <c r="H667" s="1" t="s">
        <v>21</v>
      </c>
      <c r="I667" s="1" t="s">
        <v>22</v>
      </c>
      <c r="J667" s="1" t="s">
        <v>25</v>
      </c>
      <c r="L667" s="2">
        <v>916.01</v>
      </c>
    </row>
    <row r="668" spans="1:12" x14ac:dyDescent="0.2">
      <c r="A668" s="6" t="s">
        <v>1</v>
      </c>
      <c r="B668" s="7">
        <f t="shared" si="13"/>
        <v>45232</v>
      </c>
      <c r="C668" s="1" t="s">
        <v>723</v>
      </c>
      <c r="D668" s="1" t="s">
        <v>19</v>
      </c>
      <c r="E668" s="1" t="s">
        <v>20</v>
      </c>
      <c r="F668" s="4">
        <v>45232.643750000003</v>
      </c>
      <c r="G668" s="4">
        <v>45232.643750000003</v>
      </c>
      <c r="H668" s="1" t="s">
        <v>21</v>
      </c>
      <c r="I668" s="1" t="s">
        <v>22</v>
      </c>
      <c r="J668" s="1" t="s">
        <v>25</v>
      </c>
      <c r="L668" s="2">
        <v>963.74</v>
      </c>
    </row>
    <row r="669" spans="1:12" x14ac:dyDescent="0.2">
      <c r="A669" s="6" t="s">
        <v>1</v>
      </c>
      <c r="B669" s="7">
        <f t="shared" si="13"/>
        <v>45232</v>
      </c>
      <c r="C669" s="1" t="s">
        <v>724</v>
      </c>
      <c r="D669" s="1" t="s">
        <v>19</v>
      </c>
      <c r="E669" s="1" t="s">
        <v>20</v>
      </c>
      <c r="F669" s="4">
        <v>45232.698611111111</v>
      </c>
      <c r="G669" s="4">
        <v>45232.698611111111</v>
      </c>
      <c r="H669" s="1" t="s">
        <v>21</v>
      </c>
      <c r="I669" s="1" t="s">
        <v>22</v>
      </c>
      <c r="J669" s="1" t="s">
        <v>25</v>
      </c>
      <c r="L669" s="2">
        <v>3025.3</v>
      </c>
    </row>
    <row r="670" spans="1:12" x14ac:dyDescent="0.2">
      <c r="A670" s="6" t="s">
        <v>1</v>
      </c>
      <c r="B670" s="7">
        <f t="shared" si="13"/>
        <v>45232</v>
      </c>
      <c r="C670" s="1" t="s">
        <v>725</v>
      </c>
      <c r="D670" s="1" t="s">
        <v>19</v>
      </c>
      <c r="E670" s="1" t="s">
        <v>20</v>
      </c>
      <c r="F670" s="4">
        <v>45232.709027777775</v>
      </c>
      <c r="G670" s="4">
        <v>45232.709027777775</v>
      </c>
      <c r="H670" s="1" t="s">
        <v>21</v>
      </c>
      <c r="I670" s="1" t="s">
        <v>22</v>
      </c>
      <c r="J670" s="1" t="s">
        <v>25</v>
      </c>
      <c r="L670" s="2">
        <v>3025.3</v>
      </c>
    </row>
    <row r="671" spans="1:12" x14ac:dyDescent="0.2">
      <c r="A671" s="6" t="str">
        <f>VLOOKUP(J671,[1]Clientes!$C:$H,6,0)</f>
        <v>AMBEV</v>
      </c>
      <c r="B671" s="7">
        <f t="shared" si="13"/>
        <v>45232</v>
      </c>
      <c r="C671" s="1" t="s">
        <v>726</v>
      </c>
      <c r="D671" s="1" t="s">
        <v>183</v>
      </c>
      <c r="E671" s="1" t="s">
        <v>184</v>
      </c>
      <c r="F671" s="4">
        <v>45232.807638888888</v>
      </c>
      <c r="G671" s="4">
        <v>45232.807638888888</v>
      </c>
      <c r="H671" s="1" t="s">
        <v>21</v>
      </c>
      <c r="I671" s="1" t="s">
        <v>22</v>
      </c>
      <c r="J671" s="1" t="s">
        <v>727</v>
      </c>
      <c r="L671" s="2">
        <v>19100.09</v>
      </c>
    </row>
    <row r="672" spans="1:12" x14ac:dyDescent="0.2">
      <c r="A672" s="6" t="str">
        <f>VLOOKUP(J672,[1]Clientes!$C:$H,6,0)</f>
        <v>AMBEV</v>
      </c>
      <c r="B672" s="7">
        <f t="shared" si="13"/>
        <v>45232</v>
      </c>
      <c r="C672" s="1" t="s">
        <v>728</v>
      </c>
      <c r="D672" s="1" t="s">
        <v>183</v>
      </c>
      <c r="E672" s="1" t="s">
        <v>184</v>
      </c>
      <c r="F672" s="4">
        <v>45232.835416666669</v>
      </c>
      <c r="G672" s="4">
        <v>45232.835416666669</v>
      </c>
      <c r="H672" s="1" t="s">
        <v>21</v>
      </c>
      <c r="I672" s="1" t="s">
        <v>22</v>
      </c>
      <c r="J672" s="1" t="s">
        <v>721</v>
      </c>
      <c r="L672" s="2">
        <v>16919.93</v>
      </c>
    </row>
    <row r="673" spans="1:12" x14ac:dyDescent="0.2">
      <c r="A673" s="6" t="str">
        <f>VLOOKUP(J673,[1]Clientes!$C:$H,6,0)</f>
        <v>CBA</v>
      </c>
      <c r="B673" s="7">
        <f t="shared" si="13"/>
        <v>45233</v>
      </c>
      <c r="C673" s="1" t="s">
        <v>729</v>
      </c>
      <c r="D673" s="1" t="s">
        <v>183</v>
      </c>
      <c r="E673" s="1" t="s">
        <v>184</v>
      </c>
      <c r="F673" s="4">
        <v>45233.413888888892</v>
      </c>
      <c r="G673" s="4">
        <v>45233.413888888892</v>
      </c>
      <c r="H673" s="1" t="s">
        <v>21</v>
      </c>
      <c r="I673" s="1" t="s">
        <v>22</v>
      </c>
      <c r="J673" s="1" t="s">
        <v>69</v>
      </c>
      <c r="L673" s="2">
        <v>1868.08</v>
      </c>
    </row>
    <row r="674" spans="1:12" x14ac:dyDescent="0.2">
      <c r="A674" s="6" t="str">
        <f>VLOOKUP(J674,[1]Clientes!$C:$H,6,0)</f>
        <v>CBA</v>
      </c>
      <c r="B674" s="7">
        <f t="shared" si="13"/>
        <v>45233</v>
      </c>
      <c r="C674" s="1" t="s">
        <v>730</v>
      </c>
      <c r="D674" s="1" t="s">
        <v>183</v>
      </c>
      <c r="E674" s="1" t="s">
        <v>184</v>
      </c>
      <c r="F674" s="4">
        <v>45233.424305555556</v>
      </c>
      <c r="G674" s="4">
        <v>45233.424305555556</v>
      </c>
      <c r="H674" s="1" t="s">
        <v>21</v>
      </c>
      <c r="I674" s="1" t="s">
        <v>22</v>
      </c>
      <c r="J674" s="1" t="s">
        <v>69</v>
      </c>
      <c r="L674" s="2">
        <v>1868.88</v>
      </c>
    </row>
    <row r="675" spans="1:12" x14ac:dyDescent="0.2">
      <c r="A675" s="6" t="str">
        <f>VLOOKUP(J675,[1]Clientes!$C:$H,6,0)</f>
        <v>CBA</v>
      </c>
      <c r="B675" s="7">
        <f t="shared" si="13"/>
        <v>45233</v>
      </c>
      <c r="C675" s="1" t="s">
        <v>731</v>
      </c>
      <c r="D675" s="1" t="s">
        <v>183</v>
      </c>
      <c r="E675" s="1" t="s">
        <v>184</v>
      </c>
      <c r="F675" s="4">
        <v>45233.427083333336</v>
      </c>
      <c r="G675" s="4">
        <v>45233.427083333336</v>
      </c>
      <c r="H675" s="1" t="s">
        <v>21</v>
      </c>
      <c r="I675" s="1" t="s">
        <v>22</v>
      </c>
      <c r="J675" s="1" t="s">
        <v>69</v>
      </c>
      <c r="L675" s="2">
        <v>1867.67</v>
      </c>
    </row>
    <row r="676" spans="1:12" x14ac:dyDescent="0.2">
      <c r="A676" s="6" t="str">
        <f>VLOOKUP(J676,[1]Clientes!$C:$H,6,0)</f>
        <v>CBA</v>
      </c>
      <c r="B676" s="7">
        <f t="shared" si="13"/>
        <v>45233</v>
      </c>
      <c r="C676" s="1" t="s">
        <v>732</v>
      </c>
      <c r="D676" s="1" t="s">
        <v>183</v>
      </c>
      <c r="E676" s="1" t="s">
        <v>184</v>
      </c>
      <c r="F676" s="4">
        <v>45233.446527777778</v>
      </c>
      <c r="G676" s="4">
        <v>45233.446527777778</v>
      </c>
      <c r="H676" s="1" t="s">
        <v>21</v>
      </c>
      <c r="I676" s="1" t="s">
        <v>22</v>
      </c>
      <c r="J676" s="1" t="s">
        <v>69</v>
      </c>
      <c r="L676" s="2">
        <v>2699.72</v>
      </c>
    </row>
    <row r="677" spans="1:12" x14ac:dyDescent="0.2">
      <c r="A677" s="6" t="str">
        <f>VLOOKUP(J677,[1]Clientes!$C:$H,6,0)</f>
        <v>UNIPAR</v>
      </c>
      <c r="B677" s="7">
        <f t="shared" si="13"/>
        <v>45233</v>
      </c>
      <c r="C677" s="1" t="s">
        <v>733</v>
      </c>
      <c r="D677" s="1" t="s">
        <v>183</v>
      </c>
      <c r="E677" s="1" t="s">
        <v>184</v>
      </c>
      <c r="F677" s="4">
        <v>45233.456250000003</v>
      </c>
      <c r="G677" s="4">
        <v>45233.456250000003</v>
      </c>
      <c r="H677" s="1" t="s">
        <v>21</v>
      </c>
      <c r="I677" s="1" t="s">
        <v>22</v>
      </c>
      <c r="J677" s="1" t="s">
        <v>63</v>
      </c>
      <c r="L677" s="2">
        <v>3425.27</v>
      </c>
    </row>
    <row r="678" spans="1:12" x14ac:dyDescent="0.2">
      <c r="A678" s="6" t="str">
        <f>VLOOKUP(J678,[1]Clientes!$C:$H,6,0)</f>
        <v>CBA</v>
      </c>
      <c r="B678" s="7">
        <f t="shared" si="13"/>
        <v>45233</v>
      </c>
      <c r="C678" s="1" t="s">
        <v>734</v>
      </c>
      <c r="D678" s="1" t="s">
        <v>183</v>
      </c>
      <c r="E678" s="1" t="s">
        <v>184</v>
      </c>
      <c r="F678" s="4">
        <v>45233.472222222219</v>
      </c>
      <c r="G678" s="4">
        <v>45233.472222222219</v>
      </c>
      <c r="H678" s="1" t="s">
        <v>21</v>
      </c>
      <c r="I678" s="1" t="s">
        <v>22</v>
      </c>
      <c r="J678" s="1" t="s">
        <v>69</v>
      </c>
      <c r="L678" s="2">
        <v>3419.41</v>
      </c>
    </row>
    <row r="679" spans="1:12" x14ac:dyDescent="0.2">
      <c r="A679" s="6" t="str">
        <f>VLOOKUP(J679,[1]Clientes!$C:$H,6,0)</f>
        <v>CBA</v>
      </c>
      <c r="B679" s="7">
        <f t="shared" si="13"/>
        <v>45233</v>
      </c>
      <c r="C679" s="1" t="s">
        <v>735</v>
      </c>
      <c r="D679" s="1" t="s">
        <v>183</v>
      </c>
      <c r="E679" s="1" t="s">
        <v>184</v>
      </c>
      <c r="F679" s="4">
        <v>45233.545138888891</v>
      </c>
      <c r="G679" s="4">
        <v>45233.545138888891</v>
      </c>
      <c r="H679" s="1" t="s">
        <v>21</v>
      </c>
      <c r="I679" s="1" t="s">
        <v>22</v>
      </c>
      <c r="J679" s="1" t="s">
        <v>69</v>
      </c>
      <c r="L679" s="2">
        <v>1869.63</v>
      </c>
    </row>
    <row r="680" spans="1:12" x14ac:dyDescent="0.2">
      <c r="A680" s="6" t="str">
        <f>VLOOKUP(J680,[1]Clientes!$C:$H,6,0)</f>
        <v>IMERYS</v>
      </c>
      <c r="B680" s="7">
        <f t="shared" si="13"/>
        <v>45233</v>
      </c>
      <c r="C680" s="1" t="s">
        <v>736</v>
      </c>
      <c r="D680" s="1" t="s">
        <v>183</v>
      </c>
      <c r="E680" s="1" t="s">
        <v>184</v>
      </c>
      <c r="F680" s="4">
        <v>45233.556944444441</v>
      </c>
      <c r="G680" s="4">
        <v>45233.556944444441</v>
      </c>
      <c r="H680" s="1" t="s">
        <v>21</v>
      </c>
      <c r="I680" s="1" t="s">
        <v>22</v>
      </c>
      <c r="J680" s="1" t="s">
        <v>188</v>
      </c>
      <c r="L680" s="2">
        <v>894.39</v>
      </c>
    </row>
    <row r="681" spans="1:12" x14ac:dyDescent="0.2">
      <c r="A681" s="6" t="str">
        <f>VLOOKUP(J681,[1]Clientes!$C:$H,6,0)</f>
        <v>CBA</v>
      </c>
      <c r="B681" s="7">
        <f t="shared" si="13"/>
        <v>45233</v>
      </c>
      <c r="C681" s="1" t="s">
        <v>737</v>
      </c>
      <c r="D681" s="1" t="s">
        <v>183</v>
      </c>
      <c r="E681" s="1" t="s">
        <v>184</v>
      </c>
      <c r="F681" s="4">
        <v>45233.557638888888</v>
      </c>
      <c r="G681" s="4">
        <v>45233.557638888888</v>
      </c>
      <c r="H681" s="1" t="s">
        <v>21</v>
      </c>
      <c r="I681" s="1" t="s">
        <v>22</v>
      </c>
      <c r="J681" s="1" t="s">
        <v>69</v>
      </c>
      <c r="L681" s="2">
        <v>3697.6</v>
      </c>
    </row>
    <row r="682" spans="1:12" x14ac:dyDescent="0.2">
      <c r="A682" s="6" t="str">
        <f>VLOOKUP(J682,[1]Clientes!$C:$H,6,0)</f>
        <v>IMERYS</v>
      </c>
      <c r="B682" s="7">
        <f t="shared" si="13"/>
        <v>45233</v>
      </c>
      <c r="C682" s="1" t="s">
        <v>738</v>
      </c>
      <c r="D682" s="1" t="s">
        <v>183</v>
      </c>
      <c r="E682" s="1" t="s">
        <v>184</v>
      </c>
      <c r="F682" s="4">
        <v>45233.572916666664</v>
      </c>
      <c r="G682" s="4">
        <v>45233.572916666664</v>
      </c>
      <c r="H682" s="1" t="s">
        <v>21</v>
      </c>
      <c r="I682" s="1" t="s">
        <v>22</v>
      </c>
      <c r="J682" s="1" t="s">
        <v>188</v>
      </c>
      <c r="L682" s="2">
        <v>821.11</v>
      </c>
    </row>
    <row r="683" spans="1:12" x14ac:dyDescent="0.2">
      <c r="A683" s="6" t="str">
        <f>VLOOKUP(J683,[1]Clientes!$C:$H,6,0)</f>
        <v>CBA</v>
      </c>
      <c r="B683" s="7">
        <f t="shared" si="13"/>
        <v>45233</v>
      </c>
      <c r="C683" s="1" t="s">
        <v>739</v>
      </c>
      <c r="D683" s="1" t="s">
        <v>183</v>
      </c>
      <c r="E683" s="1" t="s">
        <v>184</v>
      </c>
      <c r="F683" s="4">
        <v>45233.586111111108</v>
      </c>
      <c r="G683" s="4">
        <v>45233.586111111108</v>
      </c>
      <c r="H683" s="1" t="s">
        <v>21</v>
      </c>
      <c r="I683" s="1" t="s">
        <v>22</v>
      </c>
      <c r="J683" s="1" t="s">
        <v>69</v>
      </c>
      <c r="L683" s="2">
        <v>1867.44</v>
      </c>
    </row>
    <row r="684" spans="1:12" x14ac:dyDescent="0.2">
      <c r="A684" s="6" t="str">
        <f>VLOOKUP(J684,[1]Clientes!$C:$H,6,0)</f>
        <v>IMERYS</v>
      </c>
      <c r="B684" s="7">
        <f t="shared" si="13"/>
        <v>45233</v>
      </c>
      <c r="C684" s="1" t="s">
        <v>740</v>
      </c>
      <c r="D684" s="1" t="s">
        <v>183</v>
      </c>
      <c r="E684" s="1" t="s">
        <v>184</v>
      </c>
      <c r="F684" s="4">
        <v>45233.586805555555</v>
      </c>
      <c r="G684" s="4">
        <v>45233.586805555555</v>
      </c>
      <c r="H684" s="1" t="s">
        <v>21</v>
      </c>
      <c r="I684" s="1" t="s">
        <v>22</v>
      </c>
      <c r="J684" s="1" t="s">
        <v>188</v>
      </c>
      <c r="L684" s="2">
        <v>1084.55</v>
      </c>
    </row>
    <row r="685" spans="1:12" x14ac:dyDescent="0.2">
      <c r="A685" s="6" t="str">
        <f>VLOOKUP(J685,[1]Clientes!$C:$H,6,0)</f>
        <v>CBA</v>
      </c>
      <c r="B685" s="7">
        <f t="shared" si="13"/>
        <v>45233</v>
      </c>
      <c r="C685" s="1" t="s">
        <v>584</v>
      </c>
      <c r="D685" s="1" t="s">
        <v>183</v>
      </c>
      <c r="E685" s="1" t="s">
        <v>184</v>
      </c>
      <c r="F685" s="4">
        <v>45233.594444444447</v>
      </c>
      <c r="G685" s="4">
        <v>45233.594444444447</v>
      </c>
      <c r="H685" s="1" t="s">
        <v>21</v>
      </c>
      <c r="I685" s="1" t="s">
        <v>22</v>
      </c>
      <c r="J685" s="1" t="s">
        <v>69</v>
      </c>
      <c r="L685" s="2">
        <v>1454.07</v>
      </c>
    </row>
    <row r="686" spans="1:12" x14ac:dyDescent="0.2">
      <c r="A686" s="6" t="str">
        <f>VLOOKUP(J686,[1]Clientes!$C:$H,6,0)</f>
        <v>CBA</v>
      </c>
      <c r="B686" s="7">
        <f t="shared" si="13"/>
        <v>45233</v>
      </c>
      <c r="C686" s="1" t="s">
        <v>741</v>
      </c>
      <c r="D686" s="1" t="s">
        <v>19</v>
      </c>
      <c r="E686" s="1" t="s">
        <v>20</v>
      </c>
      <c r="F686" s="4">
        <v>45233.602083333331</v>
      </c>
      <c r="G686" s="4">
        <v>45233.602083333331</v>
      </c>
      <c r="H686" s="1" t="s">
        <v>21</v>
      </c>
      <c r="I686" s="1" t="s">
        <v>22</v>
      </c>
      <c r="J686" s="1" t="s">
        <v>69</v>
      </c>
      <c r="L686" s="2">
        <v>3697.48</v>
      </c>
    </row>
    <row r="687" spans="1:12" x14ac:dyDescent="0.2">
      <c r="A687" s="6" t="s">
        <v>1</v>
      </c>
      <c r="B687" s="7">
        <f t="shared" si="13"/>
        <v>45233</v>
      </c>
      <c r="C687" s="1" t="s">
        <v>742</v>
      </c>
      <c r="D687" s="1" t="s">
        <v>19</v>
      </c>
      <c r="E687" s="1" t="s">
        <v>20</v>
      </c>
      <c r="F687" s="4">
        <v>45233.627083333333</v>
      </c>
      <c r="G687" s="4">
        <v>45233.627083333333</v>
      </c>
      <c r="H687" s="1" t="s">
        <v>21</v>
      </c>
      <c r="I687" s="1" t="s">
        <v>22</v>
      </c>
      <c r="J687" s="1" t="s">
        <v>25</v>
      </c>
      <c r="L687" s="2">
        <v>1169.0899999999999</v>
      </c>
    </row>
    <row r="688" spans="1:12" x14ac:dyDescent="0.2">
      <c r="A688" s="6" t="s">
        <v>1</v>
      </c>
      <c r="B688" s="7">
        <f t="shared" si="13"/>
        <v>45233</v>
      </c>
      <c r="C688" s="1" t="s">
        <v>743</v>
      </c>
      <c r="D688" s="1" t="s">
        <v>19</v>
      </c>
      <c r="E688" s="1" t="s">
        <v>20</v>
      </c>
      <c r="F688" s="4">
        <v>45233.628472222219</v>
      </c>
      <c r="G688" s="4">
        <v>45233.628472222219</v>
      </c>
      <c r="H688" s="1" t="s">
        <v>21</v>
      </c>
      <c r="I688" s="1" t="s">
        <v>22</v>
      </c>
      <c r="J688" s="1" t="s">
        <v>25</v>
      </c>
      <c r="L688" s="2">
        <v>1204.68</v>
      </c>
    </row>
    <row r="689" spans="1:12" x14ac:dyDescent="0.2">
      <c r="A689" s="6" t="s">
        <v>1</v>
      </c>
      <c r="B689" s="7">
        <f t="shared" si="13"/>
        <v>45233</v>
      </c>
      <c r="C689" s="1" t="s">
        <v>744</v>
      </c>
      <c r="D689" s="1" t="s">
        <v>19</v>
      </c>
      <c r="E689" s="1" t="s">
        <v>20</v>
      </c>
      <c r="F689" s="4">
        <v>45233.786805555559</v>
      </c>
      <c r="G689" s="4">
        <v>45233.786805555559</v>
      </c>
      <c r="H689" s="1" t="s">
        <v>21</v>
      </c>
      <c r="I689" s="1" t="s">
        <v>22</v>
      </c>
      <c r="J689" s="1" t="s">
        <v>25</v>
      </c>
      <c r="L689" s="2">
        <v>1567.34</v>
      </c>
    </row>
    <row r="690" spans="1:12" x14ac:dyDescent="0.2">
      <c r="A690" s="6" t="str">
        <f>VLOOKUP(J690,[1]Clientes!$C:$H,6,0)</f>
        <v>OUTROS</v>
      </c>
      <c r="B690" s="7">
        <f t="shared" si="13"/>
        <v>45233</v>
      </c>
      <c r="C690" s="1" t="s">
        <v>745</v>
      </c>
      <c r="D690" s="1" t="s">
        <v>19</v>
      </c>
      <c r="E690" s="1" t="s">
        <v>20</v>
      </c>
      <c r="F690" s="4">
        <v>45233.859027777777</v>
      </c>
      <c r="G690" s="4">
        <v>45233.859027777777</v>
      </c>
      <c r="H690" s="1" t="s">
        <v>21</v>
      </c>
      <c r="I690" s="1" t="s">
        <v>22</v>
      </c>
      <c r="J690" s="1" t="s">
        <v>746</v>
      </c>
      <c r="L690" s="2">
        <v>11000</v>
      </c>
    </row>
    <row r="691" spans="1:12" x14ac:dyDescent="0.2">
      <c r="A691" s="6" t="str">
        <f>VLOOKUP(J691,[1]Clientes!$C:$H,6,0)</f>
        <v>AMBEV</v>
      </c>
      <c r="B691" s="7">
        <f t="shared" si="13"/>
        <v>45233</v>
      </c>
      <c r="C691" s="1" t="s">
        <v>747</v>
      </c>
      <c r="D691" s="1" t="s">
        <v>19</v>
      </c>
      <c r="E691" s="1" t="s">
        <v>20</v>
      </c>
      <c r="F691" s="4">
        <v>45233.981944444444</v>
      </c>
      <c r="G691" s="4">
        <v>45233.981944444444</v>
      </c>
      <c r="H691" s="1" t="s">
        <v>21</v>
      </c>
      <c r="I691" s="1" t="s">
        <v>22</v>
      </c>
      <c r="J691" s="1" t="s">
        <v>727</v>
      </c>
      <c r="L691" s="2">
        <v>20569.330000000002</v>
      </c>
    </row>
    <row r="692" spans="1:12" x14ac:dyDescent="0.2">
      <c r="A692" s="6" t="str">
        <f>VLOOKUP(J692,[1]Clientes!$C:$H,6,0)</f>
        <v>UNIPAR</v>
      </c>
      <c r="B692" s="7">
        <f t="shared" si="13"/>
        <v>45233</v>
      </c>
      <c r="C692" s="1" t="s">
        <v>748</v>
      </c>
      <c r="D692" s="1" t="s">
        <v>183</v>
      </c>
      <c r="E692" s="1" t="s">
        <v>184</v>
      </c>
      <c r="F692" s="4">
        <v>45233.984027777777</v>
      </c>
      <c r="G692" s="4">
        <v>45233.984027777777</v>
      </c>
      <c r="H692" s="1" t="s">
        <v>21</v>
      </c>
      <c r="I692" s="1" t="s">
        <v>22</v>
      </c>
      <c r="J692" s="1" t="s">
        <v>63</v>
      </c>
      <c r="L692" s="2">
        <v>3425.27</v>
      </c>
    </row>
    <row r="693" spans="1:12" x14ac:dyDescent="0.2">
      <c r="A693" s="6" t="s">
        <v>1</v>
      </c>
      <c r="B693" s="7">
        <f t="shared" ref="B693:B756" si="14">QUOTIENT(F693,1)</f>
        <v>45234</v>
      </c>
      <c r="C693" s="1" t="s">
        <v>749</v>
      </c>
      <c r="D693" s="1" t="s">
        <v>19</v>
      </c>
      <c r="E693" s="1" t="s">
        <v>20</v>
      </c>
      <c r="F693" s="4">
        <v>45234.35</v>
      </c>
      <c r="G693" s="4">
        <v>45234.35</v>
      </c>
      <c r="H693" s="1" t="s">
        <v>21</v>
      </c>
      <c r="I693" s="1" t="s">
        <v>22</v>
      </c>
      <c r="J693" s="1" t="s">
        <v>25</v>
      </c>
      <c r="L693" s="2">
        <v>1567.34</v>
      </c>
    </row>
    <row r="694" spans="1:12" x14ac:dyDescent="0.2">
      <c r="A694" s="6" t="str">
        <f>VLOOKUP(J694,[1]Clientes!$C:$H,6,0)</f>
        <v>AMBEV</v>
      </c>
      <c r="B694" s="7">
        <f t="shared" si="14"/>
        <v>45234</v>
      </c>
      <c r="C694" s="1" t="s">
        <v>750</v>
      </c>
      <c r="D694" s="1" t="s">
        <v>183</v>
      </c>
      <c r="E694" s="1" t="s">
        <v>184</v>
      </c>
      <c r="F694" s="4">
        <v>45234.382638888892</v>
      </c>
      <c r="G694" s="4">
        <v>45234.382638888892</v>
      </c>
      <c r="H694" s="1" t="s">
        <v>21</v>
      </c>
      <c r="I694" s="1" t="s">
        <v>22</v>
      </c>
      <c r="J694" s="1" t="s">
        <v>721</v>
      </c>
      <c r="L694" s="2">
        <v>16919.93</v>
      </c>
    </row>
    <row r="695" spans="1:12" x14ac:dyDescent="0.2">
      <c r="A695" s="6" t="str">
        <f>VLOOKUP(J695,[1]Clientes!$C:$H,6,0)</f>
        <v>AMBEV</v>
      </c>
      <c r="B695" s="7">
        <f t="shared" si="14"/>
        <v>45234</v>
      </c>
      <c r="C695" s="1" t="s">
        <v>751</v>
      </c>
      <c r="D695" s="1" t="s">
        <v>183</v>
      </c>
      <c r="E695" s="1" t="s">
        <v>184</v>
      </c>
      <c r="F695" s="4">
        <v>45234.772916666669</v>
      </c>
      <c r="G695" s="4">
        <v>45234.772916666669</v>
      </c>
      <c r="H695" s="1" t="s">
        <v>21</v>
      </c>
      <c r="I695" s="1" t="s">
        <v>22</v>
      </c>
      <c r="J695" s="1" t="s">
        <v>727</v>
      </c>
      <c r="L695" s="2">
        <v>20569.330000000002</v>
      </c>
    </row>
    <row r="696" spans="1:12" x14ac:dyDescent="0.2">
      <c r="A696" s="6" t="str">
        <f>VLOOKUP(J696,[1]Clientes!$C:$H,6,0)</f>
        <v>CBA</v>
      </c>
      <c r="B696" s="7">
        <f t="shared" si="14"/>
        <v>45236</v>
      </c>
      <c r="C696" s="1" t="s">
        <v>752</v>
      </c>
      <c r="D696" s="1" t="s">
        <v>183</v>
      </c>
      <c r="E696" s="1" t="s">
        <v>184</v>
      </c>
      <c r="F696" s="4">
        <v>45236.381249999999</v>
      </c>
      <c r="G696" s="4">
        <v>45236.381249999999</v>
      </c>
      <c r="H696" s="1" t="s">
        <v>21</v>
      </c>
      <c r="I696" s="1" t="s">
        <v>22</v>
      </c>
      <c r="J696" s="1" t="s">
        <v>69</v>
      </c>
      <c r="L696" s="2">
        <v>3420.14</v>
      </c>
    </row>
    <row r="697" spans="1:12" x14ac:dyDescent="0.2">
      <c r="A697" s="6" t="str">
        <f>VLOOKUP(J697,[1]Clientes!$C:$H,6,0)</f>
        <v>LANXESS</v>
      </c>
      <c r="B697" s="7">
        <f t="shared" si="14"/>
        <v>45236</v>
      </c>
      <c r="C697" s="1" t="s">
        <v>753</v>
      </c>
      <c r="D697" s="1" t="s">
        <v>183</v>
      </c>
      <c r="E697" s="1" t="s">
        <v>184</v>
      </c>
      <c r="F697" s="4">
        <v>45236.425000000003</v>
      </c>
      <c r="G697" s="4">
        <v>45236.425000000003</v>
      </c>
      <c r="H697" s="1" t="s">
        <v>21</v>
      </c>
      <c r="I697" s="1" t="s">
        <v>22</v>
      </c>
      <c r="J697" s="1" t="s">
        <v>200</v>
      </c>
      <c r="L697" s="2">
        <v>1360.2</v>
      </c>
    </row>
    <row r="698" spans="1:12" x14ac:dyDescent="0.2">
      <c r="A698" s="6" t="str">
        <f>VLOOKUP(J698,[1]Clientes!$C:$H,6,0)</f>
        <v>CBA</v>
      </c>
      <c r="B698" s="7">
        <f t="shared" si="14"/>
        <v>45236</v>
      </c>
      <c r="C698" s="1" t="s">
        <v>754</v>
      </c>
      <c r="D698" s="1" t="s">
        <v>183</v>
      </c>
      <c r="E698" s="1" t="s">
        <v>184</v>
      </c>
      <c r="F698" s="4">
        <v>45236.431944444441</v>
      </c>
      <c r="G698" s="4">
        <v>45236.431944444441</v>
      </c>
      <c r="H698" s="1" t="s">
        <v>21</v>
      </c>
      <c r="I698" s="1" t="s">
        <v>22</v>
      </c>
      <c r="J698" s="1" t="s">
        <v>69</v>
      </c>
      <c r="L698" s="2">
        <v>1863.59</v>
      </c>
    </row>
    <row r="699" spans="1:12" x14ac:dyDescent="0.2">
      <c r="A699" s="6" t="str">
        <f>VLOOKUP(J699,[1]Clientes!$C:$H,6,0)</f>
        <v>CBA</v>
      </c>
      <c r="B699" s="7">
        <f t="shared" si="14"/>
        <v>45236</v>
      </c>
      <c r="C699" s="1" t="s">
        <v>755</v>
      </c>
      <c r="D699" s="1" t="s">
        <v>183</v>
      </c>
      <c r="E699" s="1" t="s">
        <v>184</v>
      </c>
      <c r="F699" s="4">
        <v>45236.44027777778</v>
      </c>
      <c r="G699" s="4">
        <v>45236.44027777778</v>
      </c>
      <c r="H699" s="1" t="s">
        <v>21</v>
      </c>
      <c r="I699" s="1" t="s">
        <v>22</v>
      </c>
      <c r="J699" s="1" t="s">
        <v>69</v>
      </c>
      <c r="L699" s="2">
        <v>1862.9</v>
      </c>
    </row>
    <row r="700" spans="1:12" x14ac:dyDescent="0.2">
      <c r="A700" s="6" t="str">
        <f>VLOOKUP(J700,[1]Clientes!$C:$H,6,0)</f>
        <v>LANXESS</v>
      </c>
      <c r="B700" s="7">
        <f t="shared" si="14"/>
        <v>45236</v>
      </c>
      <c r="C700" s="1" t="s">
        <v>756</v>
      </c>
      <c r="D700" s="1" t="s">
        <v>183</v>
      </c>
      <c r="E700" s="1" t="s">
        <v>184</v>
      </c>
      <c r="F700" s="4">
        <v>45236.44027777778</v>
      </c>
      <c r="G700" s="4">
        <v>45236.44027777778</v>
      </c>
      <c r="H700" s="1" t="s">
        <v>21</v>
      </c>
      <c r="I700" s="1" t="s">
        <v>22</v>
      </c>
      <c r="J700" s="1" t="s">
        <v>200</v>
      </c>
      <c r="L700" s="2">
        <v>777.17</v>
      </c>
    </row>
    <row r="701" spans="1:12" x14ac:dyDescent="0.2">
      <c r="A701" s="6" t="str">
        <f>VLOOKUP(J701,[1]Clientes!$C:$H,6,0)</f>
        <v>LANXESS</v>
      </c>
      <c r="B701" s="7">
        <f t="shared" si="14"/>
        <v>45236</v>
      </c>
      <c r="C701" s="1" t="s">
        <v>757</v>
      </c>
      <c r="D701" s="1" t="s">
        <v>183</v>
      </c>
      <c r="E701" s="1" t="s">
        <v>184</v>
      </c>
      <c r="F701" s="4">
        <v>45236.451388888891</v>
      </c>
      <c r="G701" s="4">
        <v>45236.451388888891</v>
      </c>
      <c r="H701" s="1" t="s">
        <v>21</v>
      </c>
      <c r="I701" s="1" t="s">
        <v>22</v>
      </c>
      <c r="J701" s="1" t="s">
        <v>200</v>
      </c>
      <c r="L701" s="2">
        <v>340.91</v>
      </c>
    </row>
    <row r="702" spans="1:12" x14ac:dyDescent="0.2">
      <c r="A702" s="6" t="str">
        <f>VLOOKUP(J702,[1]Clientes!$C:$H,6,0)</f>
        <v>LANXESS</v>
      </c>
      <c r="B702" s="7">
        <f t="shared" si="14"/>
        <v>45236</v>
      </c>
      <c r="C702" s="1" t="s">
        <v>758</v>
      </c>
      <c r="D702" s="1" t="s">
        <v>183</v>
      </c>
      <c r="E702" s="1" t="s">
        <v>184</v>
      </c>
      <c r="F702" s="4">
        <v>45236.461805555555</v>
      </c>
      <c r="G702" s="4">
        <v>45236.461805555555</v>
      </c>
      <c r="H702" s="1" t="s">
        <v>21</v>
      </c>
      <c r="I702" s="1" t="s">
        <v>22</v>
      </c>
      <c r="J702" s="1" t="s">
        <v>221</v>
      </c>
      <c r="L702" s="2">
        <v>1109.49</v>
      </c>
    </row>
    <row r="703" spans="1:12" x14ac:dyDescent="0.2">
      <c r="A703" s="6" t="str">
        <f>VLOOKUP(J703,[1]Clientes!$C:$H,6,0)</f>
        <v>IMERYS</v>
      </c>
      <c r="B703" s="7">
        <f t="shared" si="14"/>
        <v>45236</v>
      </c>
      <c r="C703" s="1" t="s">
        <v>759</v>
      </c>
      <c r="D703" s="1" t="s">
        <v>183</v>
      </c>
      <c r="E703" s="1" t="s">
        <v>184</v>
      </c>
      <c r="F703" s="4">
        <v>45236.51666666667</v>
      </c>
      <c r="G703" s="4">
        <v>45236.51666666667</v>
      </c>
      <c r="H703" s="1" t="s">
        <v>21</v>
      </c>
      <c r="I703" s="1" t="s">
        <v>22</v>
      </c>
      <c r="J703" s="1" t="s">
        <v>188</v>
      </c>
      <c r="L703" s="2">
        <v>1075.1600000000001</v>
      </c>
    </row>
    <row r="704" spans="1:12" x14ac:dyDescent="0.2">
      <c r="A704" s="6" t="str">
        <f>VLOOKUP(J704,[1]Clientes!$C:$H,6,0)</f>
        <v>CBA</v>
      </c>
      <c r="B704" s="7">
        <f t="shared" si="14"/>
        <v>45236</v>
      </c>
      <c r="C704" s="1" t="s">
        <v>760</v>
      </c>
      <c r="D704" s="1" t="s">
        <v>183</v>
      </c>
      <c r="E704" s="1" t="s">
        <v>184</v>
      </c>
      <c r="F704" s="4">
        <v>45236.530555555553</v>
      </c>
      <c r="G704" s="4">
        <v>45236.530555555553</v>
      </c>
      <c r="H704" s="1" t="s">
        <v>21</v>
      </c>
      <c r="I704" s="1" t="s">
        <v>22</v>
      </c>
      <c r="J704" s="1" t="s">
        <v>69</v>
      </c>
      <c r="L704" s="2">
        <v>3451.01</v>
      </c>
    </row>
    <row r="705" spans="1:12" x14ac:dyDescent="0.2">
      <c r="A705" s="6" t="str">
        <f>VLOOKUP(J705,[1]Clientes!$C:$H,6,0)</f>
        <v>CBA</v>
      </c>
      <c r="B705" s="7">
        <f t="shared" si="14"/>
        <v>45236</v>
      </c>
      <c r="C705" s="1" t="s">
        <v>761</v>
      </c>
      <c r="D705" s="1" t="s">
        <v>183</v>
      </c>
      <c r="E705" s="1" t="s">
        <v>184</v>
      </c>
      <c r="F705" s="4">
        <v>45236.56527777778</v>
      </c>
      <c r="G705" s="4">
        <v>45236.56527777778</v>
      </c>
      <c r="H705" s="1" t="s">
        <v>21</v>
      </c>
      <c r="I705" s="1" t="s">
        <v>22</v>
      </c>
      <c r="J705" s="1" t="s">
        <v>69</v>
      </c>
      <c r="L705" s="2">
        <v>3696.23</v>
      </c>
    </row>
    <row r="706" spans="1:12" x14ac:dyDescent="0.2">
      <c r="A706" s="6" t="str">
        <f>VLOOKUP(J706,[1]Clientes!$C:$H,6,0)</f>
        <v>CBA</v>
      </c>
      <c r="B706" s="7">
        <f t="shared" si="14"/>
        <v>45236</v>
      </c>
      <c r="C706" s="1" t="s">
        <v>762</v>
      </c>
      <c r="D706" s="1" t="s">
        <v>19</v>
      </c>
      <c r="E706" s="1" t="s">
        <v>20</v>
      </c>
      <c r="F706" s="4">
        <v>45236.572222222225</v>
      </c>
      <c r="G706" s="4">
        <v>45236.572222222225</v>
      </c>
      <c r="H706" s="1" t="s">
        <v>21</v>
      </c>
      <c r="I706" s="1" t="s">
        <v>22</v>
      </c>
      <c r="J706" s="1" t="s">
        <v>69</v>
      </c>
      <c r="L706" s="2">
        <v>3698.1</v>
      </c>
    </row>
    <row r="707" spans="1:12" x14ac:dyDescent="0.2">
      <c r="A707" s="6" t="str">
        <f>VLOOKUP(J707,[1]Clientes!$C:$H,6,0)</f>
        <v>CBA</v>
      </c>
      <c r="B707" s="7">
        <f t="shared" si="14"/>
        <v>45236</v>
      </c>
      <c r="C707" s="1" t="s">
        <v>763</v>
      </c>
      <c r="D707" s="1" t="s">
        <v>183</v>
      </c>
      <c r="E707" s="1" t="s">
        <v>184</v>
      </c>
      <c r="F707" s="4">
        <v>45236.577777777777</v>
      </c>
      <c r="G707" s="4">
        <v>45236.577777777777</v>
      </c>
      <c r="H707" s="1" t="s">
        <v>21</v>
      </c>
      <c r="I707" s="1" t="s">
        <v>22</v>
      </c>
      <c r="J707" s="1" t="s">
        <v>69</v>
      </c>
      <c r="L707" s="2">
        <v>3697.1</v>
      </c>
    </row>
    <row r="708" spans="1:12" x14ac:dyDescent="0.2">
      <c r="A708" s="6" t="str">
        <f>VLOOKUP(J708,[1]Clientes!$C:$H,6,0)</f>
        <v>CBA</v>
      </c>
      <c r="B708" s="7">
        <f t="shared" si="14"/>
        <v>45236</v>
      </c>
      <c r="C708" s="1" t="s">
        <v>764</v>
      </c>
      <c r="D708" s="1" t="s">
        <v>19</v>
      </c>
      <c r="E708" s="1" t="s">
        <v>20</v>
      </c>
      <c r="F708" s="4">
        <v>45236.581250000003</v>
      </c>
      <c r="G708" s="4">
        <v>45236.581250000003</v>
      </c>
      <c r="H708" s="1" t="s">
        <v>21</v>
      </c>
      <c r="I708" s="1" t="s">
        <v>22</v>
      </c>
      <c r="J708" s="1" t="s">
        <v>69</v>
      </c>
      <c r="L708" s="2">
        <v>3697.85</v>
      </c>
    </row>
    <row r="709" spans="1:12" x14ac:dyDescent="0.2">
      <c r="A709" s="6" t="str">
        <f>VLOOKUP(J709,[1]Clientes!$C:$H,6,0)</f>
        <v>CBA</v>
      </c>
      <c r="B709" s="7">
        <f t="shared" si="14"/>
        <v>45236</v>
      </c>
      <c r="C709" s="1" t="s">
        <v>765</v>
      </c>
      <c r="D709" s="1" t="s">
        <v>183</v>
      </c>
      <c r="E709" s="1" t="s">
        <v>184</v>
      </c>
      <c r="F709" s="4">
        <v>45236.585416666669</v>
      </c>
      <c r="G709" s="4">
        <v>45236.585416666669</v>
      </c>
      <c r="H709" s="1" t="s">
        <v>21</v>
      </c>
      <c r="I709" s="1" t="s">
        <v>22</v>
      </c>
      <c r="J709" s="1" t="s">
        <v>69</v>
      </c>
      <c r="L709" s="2">
        <v>3697.23</v>
      </c>
    </row>
    <row r="710" spans="1:12" x14ac:dyDescent="0.2">
      <c r="A710" s="6" t="str">
        <f>VLOOKUP(J710,[1]Clientes!$C:$H,6,0)</f>
        <v>CBA</v>
      </c>
      <c r="B710" s="7">
        <f t="shared" si="14"/>
        <v>45236</v>
      </c>
      <c r="C710" s="1" t="s">
        <v>766</v>
      </c>
      <c r="D710" s="1" t="s">
        <v>183</v>
      </c>
      <c r="E710" s="1" t="s">
        <v>184</v>
      </c>
      <c r="F710" s="4">
        <v>45236.588888888888</v>
      </c>
      <c r="G710" s="4">
        <v>45236.588888888888</v>
      </c>
      <c r="H710" s="1" t="s">
        <v>21</v>
      </c>
      <c r="I710" s="1" t="s">
        <v>22</v>
      </c>
      <c r="J710" s="1" t="s">
        <v>69</v>
      </c>
      <c r="L710" s="2">
        <v>3698.23</v>
      </c>
    </row>
    <row r="711" spans="1:12" x14ac:dyDescent="0.2">
      <c r="A711" s="6" t="str">
        <f>VLOOKUP(J711,[1]Clientes!$C:$H,6,0)</f>
        <v>OUTROS</v>
      </c>
      <c r="B711" s="7">
        <f t="shared" si="14"/>
        <v>45236</v>
      </c>
      <c r="C711" s="1" t="s">
        <v>767</v>
      </c>
      <c r="D711" s="1" t="s">
        <v>183</v>
      </c>
      <c r="E711" s="1" t="s">
        <v>184</v>
      </c>
      <c r="F711" s="4">
        <v>45236.611805555556</v>
      </c>
      <c r="G711" s="4">
        <v>45236.611805555556</v>
      </c>
      <c r="H711" s="1" t="s">
        <v>21</v>
      </c>
      <c r="I711" s="1" t="s">
        <v>22</v>
      </c>
      <c r="J711" s="1" t="s">
        <v>768</v>
      </c>
      <c r="L711" s="2">
        <v>3570</v>
      </c>
    </row>
    <row r="712" spans="1:12" x14ac:dyDescent="0.2">
      <c r="A712" s="6" t="str">
        <f>VLOOKUP(J712,[1]Clientes!$C:$H,6,0)</f>
        <v>CBA</v>
      </c>
      <c r="B712" s="7">
        <f t="shared" si="14"/>
        <v>45236</v>
      </c>
      <c r="C712" s="1" t="s">
        <v>769</v>
      </c>
      <c r="D712" s="1" t="s">
        <v>183</v>
      </c>
      <c r="E712" s="1" t="s">
        <v>184</v>
      </c>
      <c r="F712" s="4">
        <v>45236.621527777781</v>
      </c>
      <c r="G712" s="4">
        <v>45236.621527777781</v>
      </c>
      <c r="H712" s="1" t="s">
        <v>21</v>
      </c>
      <c r="I712" s="1" t="s">
        <v>22</v>
      </c>
      <c r="J712" s="1" t="s">
        <v>69</v>
      </c>
      <c r="L712" s="2">
        <v>1864.25</v>
      </c>
    </row>
    <row r="713" spans="1:12" x14ac:dyDescent="0.2">
      <c r="A713" s="6" t="str">
        <f>VLOOKUP(J713,[1]Clientes!$C:$H,6,0)</f>
        <v>IMERYS</v>
      </c>
      <c r="B713" s="7">
        <f t="shared" si="14"/>
        <v>45236</v>
      </c>
      <c r="C713" s="1" t="s">
        <v>770</v>
      </c>
      <c r="D713" s="1" t="s">
        <v>183</v>
      </c>
      <c r="E713" s="1" t="s">
        <v>184</v>
      </c>
      <c r="F713" s="4">
        <v>45236.640972222223</v>
      </c>
      <c r="G713" s="4">
        <v>45236.640972222223</v>
      </c>
      <c r="H713" s="1" t="s">
        <v>21</v>
      </c>
      <c r="I713" s="1" t="s">
        <v>22</v>
      </c>
      <c r="J713" s="1" t="s">
        <v>188</v>
      </c>
      <c r="L713" s="2">
        <v>894.39</v>
      </c>
    </row>
    <row r="714" spans="1:12" x14ac:dyDescent="0.2">
      <c r="A714" s="6" t="str">
        <f>VLOOKUP(J714,[1]Clientes!$C:$H,6,0)</f>
        <v>IMERYS</v>
      </c>
      <c r="B714" s="7">
        <f t="shared" si="14"/>
        <v>45236</v>
      </c>
      <c r="C714" s="1" t="s">
        <v>771</v>
      </c>
      <c r="D714" s="1" t="s">
        <v>183</v>
      </c>
      <c r="E714" s="1" t="s">
        <v>184</v>
      </c>
      <c r="F714" s="4">
        <v>45236.649305555555</v>
      </c>
      <c r="G714" s="4">
        <v>45236.649305555555</v>
      </c>
      <c r="H714" s="1" t="s">
        <v>21</v>
      </c>
      <c r="I714" s="1" t="s">
        <v>22</v>
      </c>
      <c r="J714" s="1" t="s">
        <v>188</v>
      </c>
      <c r="L714" s="2">
        <v>899.4</v>
      </c>
    </row>
    <row r="715" spans="1:12" x14ac:dyDescent="0.2">
      <c r="A715" s="6" t="str">
        <f>VLOOKUP(J715,[1]Clientes!$C:$H,6,0)</f>
        <v>IMERYS</v>
      </c>
      <c r="B715" s="7">
        <f t="shared" si="14"/>
        <v>45236</v>
      </c>
      <c r="C715" s="1" t="s">
        <v>772</v>
      </c>
      <c r="D715" s="1" t="s">
        <v>183</v>
      </c>
      <c r="E715" s="1" t="s">
        <v>184</v>
      </c>
      <c r="F715" s="4">
        <v>45236.675694444442</v>
      </c>
      <c r="G715" s="4">
        <v>45236.675694444442</v>
      </c>
      <c r="H715" s="1" t="s">
        <v>21</v>
      </c>
      <c r="I715" s="1" t="s">
        <v>22</v>
      </c>
      <c r="J715" s="1" t="s">
        <v>188</v>
      </c>
      <c r="L715" s="2">
        <v>1185.56</v>
      </c>
    </row>
    <row r="716" spans="1:12" x14ac:dyDescent="0.2">
      <c r="A716" s="6" t="str">
        <f>VLOOKUP(J716,[1]Clientes!$C:$H,6,0)</f>
        <v>IMERYS</v>
      </c>
      <c r="B716" s="7">
        <f t="shared" si="14"/>
        <v>45236</v>
      </c>
      <c r="C716" s="1" t="s">
        <v>773</v>
      </c>
      <c r="D716" s="1" t="s">
        <v>183</v>
      </c>
      <c r="E716" s="1" t="s">
        <v>184</v>
      </c>
      <c r="F716" s="4">
        <v>45236.679166666669</v>
      </c>
      <c r="G716" s="4">
        <v>45236.679166666669</v>
      </c>
      <c r="H716" s="1" t="s">
        <v>21</v>
      </c>
      <c r="I716" s="1" t="s">
        <v>22</v>
      </c>
      <c r="J716" s="1" t="s">
        <v>188</v>
      </c>
      <c r="L716" s="2">
        <v>1185.56</v>
      </c>
    </row>
    <row r="717" spans="1:12" x14ac:dyDescent="0.2">
      <c r="A717" s="6" t="str">
        <f>VLOOKUP(J717,[1]Clientes!$C:$H,6,0)</f>
        <v>LANXESS</v>
      </c>
      <c r="B717" s="7">
        <f t="shared" si="14"/>
        <v>45236</v>
      </c>
      <c r="C717" s="1" t="s">
        <v>774</v>
      </c>
      <c r="D717" s="1" t="s">
        <v>183</v>
      </c>
      <c r="E717" s="1" t="s">
        <v>184</v>
      </c>
      <c r="F717" s="4">
        <v>45236.69027777778</v>
      </c>
      <c r="G717" s="4">
        <v>45236.69027777778</v>
      </c>
      <c r="H717" s="1" t="s">
        <v>21</v>
      </c>
      <c r="I717" s="1" t="s">
        <v>22</v>
      </c>
      <c r="J717" s="1" t="s">
        <v>221</v>
      </c>
      <c r="L717" s="2">
        <v>982.98</v>
      </c>
    </row>
    <row r="718" spans="1:12" x14ac:dyDescent="0.2">
      <c r="A718" s="6" t="str">
        <f>VLOOKUP(J718,[1]Clientes!$C:$H,6,0)</f>
        <v>CBA</v>
      </c>
      <c r="B718" s="7">
        <f t="shared" si="14"/>
        <v>45236</v>
      </c>
      <c r="C718" s="1" t="s">
        <v>775</v>
      </c>
      <c r="D718" s="1" t="s">
        <v>183</v>
      </c>
      <c r="E718" s="1" t="s">
        <v>184</v>
      </c>
      <c r="F718" s="4">
        <v>45236.713888888888</v>
      </c>
      <c r="G718" s="4">
        <v>45236.713888888888</v>
      </c>
      <c r="H718" s="1" t="s">
        <v>21</v>
      </c>
      <c r="I718" s="1" t="s">
        <v>22</v>
      </c>
      <c r="J718" s="1" t="s">
        <v>69</v>
      </c>
      <c r="L718" s="2">
        <v>3419.31</v>
      </c>
    </row>
    <row r="719" spans="1:12" x14ac:dyDescent="0.2">
      <c r="A719" s="6" t="str">
        <f>VLOOKUP(J719,[1]Clientes!$C:$H,6,0)</f>
        <v>CBA</v>
      </c>
      <c r="B719" s="7">
        <f t="shared" si="14"/>
        <v>45236</v>
      </c>
      <c r="C719" s="1" t="s">
        <v>776</v>
      </c>
      <c r="D719" s="1" t="s">
        <v>183</v>
      </c>
      <c r="E719" s="1" t="s">
        <v>184</v>
      </c>
      <c r="F719" s="4">
        <v>45236.71597222222</v>
      </c>
      <c r="G719" s="4">
        <v>45236.71597222222</v>
      </c>
      <c r="H719" s="1" t="s">
        <v>21</v>
      </c>
      <c r="I719" s="1" t="s">
        <v>22</v>
      </c>
      <c r="J719" s="1" t="s">
        <v>69</v>
      </c>
      <c r="L719" s="2">
        <v>3421.73</v>
      </c>
    </row>
    <row r="720" spans="1:12" x14ac:dyDescent="0.2">
      <c r="A720" s="6" t="str">
        <f>VLOOKUP(J720,[1]Clientes!$C:$H,6,0)</f>
        <v>CBA</v>
      </c>
      <c r="B720" s="7">
        <f t="shared" si="14"/>
        <v>45236</v>
      </c>
      <c r="C720" s="1" t="s">
        <v>777</v>
      </c>
      <c r="D720" s="1" t="s">
        <v>183</v>
      </c>
      <c r="E720" s="1" t="s">
        <v>184</v>
      </c>
      <c r="F720" s="4">
        <v>45236.71875</v>
      </c>
      <c r="G720" s="4">
        <v>45236.71875</v>
      </c>
      <c r="H720" s="1" t="s">
        <v>21</v>
      </c>
      <c r="I720" s="1" t="s">
        <v>22</v>
      </c>
      <c r="J720" s="1" t="s">
        <v>69</v>
      </c>
      <c r="L720" s="2">
        <v>3417.69</v>
      </c>
    </row>
    <row r="721" spans="1:12" x14ac:dyDescent="0.2">
      <c r="A721" s="6" t="str">
        <f>VLOOKUP(J721,[1]Clientes!$C:$H,6,0)</f>
        <v>CBA</v>
      </c>
      <c r="B721" s="7">
        <f t="shared" si="14"/>
        <v>45236</v>
      </c>
      <c r="C721" s="1" t="s">
        <v>778</v>
      </c>
      <c r="D721" s="1" t="s">
        <v>183</v>
      </c>
      <c r="E721" s="1" t="s">
        <v>184</v>
      </c>
      <c r="F721" s="4">
        <v>45236.720833333333</v>
      </c>
      <c r="G721" s="4">
        <v>45236.720833333333</v>
      </c>
      <c r="H721" s="1" t="s">
        <v>21</v>
      </c>
      <c r="I721" s="1" t="s">
        <v>22</v>
      </c>
      <c r="J721" s="1" t="s">
        <v>69</v>
      </c>
      <c r="L721" s="2">
        <v>3416.45</v>
      </c>
    </row>
    <row r="722" spans="1:12" x14ac:dyDescent="0.2">
      <c r="A722" s="6" t="str">
        <f>VLOOKUP(J722,[1]Clientes!$C:$H,6,0)</f>
        <v>CBA</v>
      </c>
      <c r="B722" s="7">
        <f t="shared" si="14"/>
        <v>45236</v>
      </c>
      <c r="C722" s="1" t="s">
        <v>779</v>
      </c>
      <c r="D722" s="1" t="s">
        <v>183</v>
      </c>
      <c r="E722" s="1" t="s">
        <v>184</v>
      </c>
      <c r="F722" s="4">
        <v>45236.722916666666</v>
      </c>
      <c r="G722" s="4">
        <v>45236.722916666666</v>
      </c>
      <c r="H722" s="1" t="s">
        <v>21</v>
      </c>
      <c r="I722" s="1" t="s">
        <v>22</v>
      </c>
      <c r="J722" s="1" t="s">
        <v>69</v>
      </c>
      <c r="L722" s="2">
        <v>3419.32</v>
      </c>
    </row>
    <row r="723" spans="1:12" x14ac:dyDescent="0.2">
      <c r="A723" s="6" t="str">
        <f>VLOOKUP(J723,[1]Clientes!$C:$H,6,0)</f>
        <v>CBA</v>
      </c>
      <c r="B723" s="7">
        <f t="shared" si="14"/>
        <v>45236</v>
      </c>
      <c r="C723" s="1" t="s">
        <v>780</v>
      </c>
      <c r="D723" s="1" t="s">
        <v>183</v>
      </c>
      <c r="E723" s="1" t="s">
        <v>184</v>
      </c>
      <c r="F723" s="4">
        <v>45236.724999999999</v>
      </c>
      <c r="G723" s="4">
        <v>45236.724999999999</v>
      </c>
      <c r="H723" s="1" t="s">
        <v>21</v>
      </c>
      <c r="I723" s="1" t="s">
        <v>22</v>
      </c>
      <c r="J723" s="1" t="s">
        <v>69</v>
      </c>
      <c r="L723" s="2">
        <v>3421.52</v>
      </c>
    </row>
    <row r="724" spans="1:12" x14ac:dyDescent="0.2">
      <c r="A724" s="6" t="str">
        <f>VLOOKUP(J724,[1]Clientes!$C:$H,6,0)</f>
        <v>CBA</v>
      </c>
      <c r="B724" s="7">
        <f t="shared" si="14"/>
        <v>45236</v>
      </c>
      <c r="C724" s="1" t="s">
        <v>781</v>
      </c>
      <c r="D724" s="1" t="s">
        <v>183</v>
      </c>
      <c r="E724" s="1" t="s">
        <v>184</v>
      </c>
      <c r="F724" s="4">
        <v>45236.727083333331</v>
      </c>
      <c r="G724" s="4">
        <v>45236.727083333331</v>
      </c>
      <c r="H724" s="1" t="s">
        <v>21</v>
      </c>
      <c r="I724" s="1" t="s">
        <v>22</v>
      </c>
      <c r="J724" s="1" t="s">
        <v>69</v>
      </c>
      <c r="L724" s="2">
        <v>3416.41</v>
      </c>
    </row>
    <row r="725" spans="1:12" x14ac:dyDescent="0.2">
      <c r="A725" s="6" t="str">
        <f>VLOOKUP(J725,[1]Clientes!$C:$H,6,0)</f>
        <v>CBA</v>
      </c>
      <c r="B725" s="7">
        <f t="shared" si="14"/>
        <v>45236</v>
      </c>
      <c r="C725" s="1" t="s">
        <v>782</v>
      </c>
      <c r="D725" s="1" t="s">
        <v>183</v>
      </c>
      <c r="E725" s="1" t="s">
        <v>184</v>
      </c>
      <c r="F725" s="4">
        <v>45236.730555555558</v>
      </c>
      <c r="G725" s="4">
        <v>45236.730555555558</v>
      </c>
      <c r="H725" s="1" t="s">
        <v>21</v>
      </c>
      <c r="I725" s="1" t="s">
        <v>22</v>
      </c>
      <c r="J725" s="1" t="s">
        <v>69</v>
      </c>
      <c r="L725" s="2">
        <v>3419.77</v>
      </c>
    </row>
    <row r="726" spans="1:12" x14ac:dyDescent="0.2">
      <c r="A726" s="6" t="str">
        <f>VLOOKUP(J726,[1]Clientes!$C:$H,6,0)</f>
        <v>UNIPAR</v>
      </c>
      <c r="B726" s="7">
        <f t="shared" si="14"/>
        <v>45236</v>
      </c>
      <c r="C726" s="1" t="s">
        <v>783</v>
      </c>
      <c r="D726" s="1" t="s">
        <v>183</v>
      </c>
      <c r="E726" s="1" t="s">
        <v>184</v>
      </c>
      <c r="F726" s="4">
        <v>45236.732638888891</v>
      </c>
      <c r="G726" s="4">
        <v>45236.732638888891</v>
      </c>
      <c r="H726" s="1" t="s">
        <v>21</v>
      </c>
      <c r="I726" s="1" t="s">
        <v>22</v>
      </c>
      <c r="J726" s="1" t="s">
        <v>63</v>
      </c>
      <c r="L726" s="2">
        <v>3425.27</v>
      </c>
    </row>
    <row r="727" spans="1:12" x14ac:dyDescent="0.2">
      <c r="A727" s="6" t="str">
        <f>VLOOKUP(J727,[1]Clientes!$C:$H,6,0)</f>
        <v>CBA</v>
      </c>
      <c r="B727" s="7">
        <f t="shared" si="14"/>
        <v>45236</v>
      </c>
      <c r="C727" s="1" t="s">
        <v>784</v>
      </c>
      <c r="D727" s="1" t="s">
        <v>183</v>
      </c>
      <c r="E727" s="1" t="s">
        <v>184</v>
      </c>
      <c r="F727" s="4">
        <v>45236.736805555556</v>
      </c>
      <c r="G727" s="4">
        <v>45236.736805555556</v>
      </c>
      <c r="H727" s="1" t="s">
        <v>21</v>
      </c>
      <c r="I727" s="1" t="s">
        <v>22</v>
      </c>
      <c r="J727" s="1" t="s">
        <v>69</v>
      </c>
      <c r="L727" s="2">
        <v>3539.98</v>
      </c>
    </row>
    <row r="728" spans="1:12" x14ac:dyDescent="0.2">
      <c r="A728" s="6" t="str">
        <f>VLOOKUP(J728,[1]Clientes!$C:$H,6,0)</f>
        <v>CBA</v>
      </c>
      <c r="B728" s="7">
        <f t="shared" si="14"/>
        <v>45236</v>
      </c>
      <c r="C728" s="1" t="s">
        <v>785</v>
      </c>
      <c r="D728" s="1" t="s">
        <v>183</v>
      </c>
      <c r="E728" s="1" t="s">
        <v>184</v>
      </c>
      <c r="F728" s="4">
        <v>45236.770833333336</v>
      </c>
      <c r="G728" s="4">
        <v>45236.770833333336</v>
      </c>
      <c r="H728" s="1" t="s">
        <v>21</v>
      </c>
      <c r="I728" s="1" t="s">
        <v>22</v>
      </c>
      <c r="J728" s="1" t="s">
        <v>69</v>
      </c>
      <c r="L728" s="2">
        <v>2762.63</v>
      </c>
    </row>
    <row r="729" spans="1:12" x14ac:dyDescent="0.2">
      <c r="A729" s="6" t="s">
        <v>1</v>
      </c>
      <c r="B729" s="7">
        <f t="shared" si="14"/>
        <v>45236</v>
      </c>
      <c r="C729" s="1" t="s">
        <v>786</v>
      </c>
      <c r="D729" s="1" t="s">
        <v>19</v>
      </c>
      <c r="E729" s="1" t="s">
        <v>20</v>
      </c>
      <c r="F729" s="4">
        <v>45236.84375</v>
      </c>
      <c r="G729" s="4">
        <v>45236.84375</v>
      </c>
      <c r="H729" s="1" t="s">
        <v>21</v>
      </c>
      <c r="I729" s="1" t="s">
        <v>22</v>
      </c>
      <c r="J729" s="1" t="s">
        <v>25</v>
      </c>
      <c r="L729" s="2">
        <v>2721.47</v>
      </c>
    </row>
    <row r="730" spans="1:12" x14ac:dyDescent="0.2">
      <c r="A730" s="6" t="str">
        <f>VLOOKUP(J730,[1]Clientes!$C:$H,6,0)</f>
        <v>CBA</v>
      </c>
      <c r="B730" s="7">
        <f t="shared" si="14"/>
        <v>45236</v>
      </c>
      <c r="C730" s="1" t="s">
        <v>787</v>
      </c>
      <c r="D730" s="1" t="s">
        <v>183</v>
      </c>
      <c r="E730" s="1" t="s">
        <v>184</v>
      </c>
      <c r="F730" s="4">
        <v>45236.944444444445</v>
      </c>
      <c r="G730" s="4">
        <v>45236.944444444445</v>
      </c>
      <c r="H730" s="1" t="s">
        <v>21</v>
      </c>
      <c r="I730" s="1" t="s">
        <v>22</v>
      </c>
      <c r="J730" s="1" t="s">
        <v>69</v>
      </c>
      <c r="L730" s="2">
        <v>3235.68</v>
      </c>
    </row>
    <row r="731" spans="1:12" x14ac:dyDescent="0.2">
      <c r="A731" s="6" t="str">
        <f>VLOOKUP(J731,[1]Clientes!$C:$H,6,0)</f>
        <v>UNIPAR</v>
      </c>
      <c r="B731" s="7">
        <f t="shared" si="14"/>
        <v>45236</v>
      </c>
      <c r="C731" s="1" t="s">
        <v>788</v>
      </c>
      <c r="D731" s="1" t="s">
        <v>19</v>
      </c>
      <c r="E731" s="1" t="s">
        <v>20</v>
      </c>
      <c r="F731" s="4">
        <v>45236.977777777778</v>
      </c>
      <c r="G731" s="4">
        <v>45236.977777777778</v>
      </c>
      <c r="H731" s="1" t="s">
        <v>21</v>
      </c>
      <c r="I731" s="1" t="s">
        <v>22</v>
      </c>
      <c r="J731" s="1" t="s">
        <v>63</v>
      </c>
      <c r="L731" s="2">
        <v>3425.27</v>
      </c>
    </row>
    <row r="732" spans="1:12" x14ac:dyDescent="0.2">
      <c r="A732" s="6" t="str">
        <f>VLOOKUP(J732,[1]Clientes!$C:$H,6,0)</f>
        <v>UNIPAR</v>
      </c>
      <c r="B732" s="7">
        <f t="shared" si="14"/>
        <v>45236</v>
      </c>
      <c r="C732" s="1" t="s">
        <v>789</v>
      </c>
      <c r="D732" s="1" t="s">
        <v>183</v>
      </c>
      <c r="E732" s="1" t="s">
        <v>184</v>
      </c>
      <c r="F732" s="4">
        <v>45236.981944444444</v>
      </c>
      <c r="G732" s="4">
        <v>45236.981944444444</v>
      </c>
      <c r="H732" s="1" t="s">
        <v>21</v>
      </c>
      <c r="I732" s="1" t="s">
        <v>22</v>
      </c>
      <c r="J732" s="1" t="s">
        <v>63</v>
      </c>
      <c r="L732" s="2">
        <v>3425.27</v>
      </c>
    </row>
    <row r="733" spans="1:12" x14ac:dyDescent="0.2">
      <c r="A733" s="6" t="str">
        <f>VLOOKUP(J733,[1]Clientes!$C:$H,6,0)</f>
        <v>AMBEV</v>
      </c>
      <c r="B733" s="7">
        <f t="shared" si="14"/>
        <v>45237</v>
      </c>
      <c r="C733" s="1" t="s">
        <v>790</v>
      </c>
      <c r="D733" s="1" t="s">
        <v>183</v>
      </c>
      <c r="E733" s="1" t="s">
        <v>184</v>
      </c>
      <c r="F733" s="4">
        <v>45237.055555555555</v>
      </c>
      <c r="G733" s="4">
        <v>45237.055555555555</v>
      </c>
      <c r="H733" s="1" t="s">
        <v>21</v>
      </c>
      <c r="I733" s="1" t="s">
        <v>22</v>
      </c>
      <c r="J733" s="1" t="s">
        <v>721</v>
      </c>
      <c r="L733" s="2">
        <v>16919.93</v>
      </c>
    </row>
    <row r="734" spans="1:12" x14ac:dyDescent="0.2">
      <c r="A734" s="6" t="str">
        <f>VLOOKUP(J734,[1]Clientes!$C:$H,6,0)</f>
        <v>AMBEV</v>
      </c>
      <c r="B734" s="7">
        <f t="shared" si="14"/>
        <v>45237</v>
      </c>
      <c r="C734" s="1" t="s">
        <v>791</v>
      </c>
      <c r="D734" s="1" t="s">
        <v>183</v>
      </c>
      <c r="E734" s="1" t="s">
        <v>184</v>
      </c>
      <c r="F734" s="4">
        <v>45237.254166666666</v>
      </c>
      <c r="G734" s="4">
        <v>45237.254166666666</v>
      </c>
      <c r="H734" s="1" t="s">
        <v>21</v>
      </c>
      <c r="I734" s="1" t="s">
        <v>22</v>
      </c>
      <c r="J734" s="1" t="s">
        <v>340</v>
      </c>
      <c r="L734" s="2">
        <v>1259.58</v>
      </c>
    </row>
    <row r="735" spans="1:12" x14ac:dyDescent="0.2">
      <c r="A735" s="6" t="str">
        <f>VLOOKUP(J735,[1]Clientes!$C:$H,6,0)</f>
        <v>AMBEV</v>
      </c>
      <c r="B735" s="7">
        <f t="shared" si="14"/>
        <v>45237</v>
      </c>
      <c r="C735" s="1" t="s">
        <v>792</v>
      </c>
      <c r="D735" s="1" t="s">
        <v>183</v>
      </c>
      <c r="E735" s="1" t="s">
        <v>184</v>
      </c>
      <c r="F735" s="4">
        <v>45237.254166666666</v>
      </c>
      <c r="G735" s="4">
        <v>45237.254166666666</v>
      </c>
      <c r="H735" s="1" t="s">
        <v>21</v>
      </c>
      <c r="I735" s="1" t="s">
        <v>22</v>
      </c>
      <c r="J735" s="1" t="s">
        <v>721</v>
      </c>
      <c r="L735" s="2">
        <v>2467.17</v>
      </c>
    </row>
    <row r="736" spans="1:12" x14ac:dyDescent="0.2">
      <c r="A736" s="6" t="str">
        <f>VLOOKUP(J736,[1]Clientes!$C:$H,6,0)</f>
        <v>LANXESS</v>
      </c>
      <c r="B736" s="7">
        <f t="shared" si="14"/>
        <v>45237</v>
      </c>
      <c r="C736" s="1" t="s">
        <v>793</v>
      </c>
      <c r="D736" s="1" t="s">
        <v>183</v>
      </c>
      <c r="E736" s="1" t="s">
        <v>184</v>
      </c>
      <c r="F736" s="4">
        <v>45237.417361111111</v>
      </c>
      <c r="G736" s="4">
        <v>45237.417361111111</v>
      </c>
      <c r="H736" s="1" t="s">
        <v>21</v>
      </c>
      <c r="I736" s="1" t="s">
        <v>22</v>
      </c>
      <c r="J736" s="1" t="s">
        <v>200</v>
      </c>
      <c r="L736" s="2">
        <v>5322.39</v>
      </c>
    </row>
    <row r="737" spans="1:12" x14ac:dyDescent="0.2">
      <c r="A737" s="6" t="str">
        <f>VLOOKUP(J737,[1]Clientes!$C:$H,6,0)</f>
        <v>UNIPAR</v>
      </c>
      <c r="B737" s="7">
        <f t="shared" si="14"/>
        <v>45237</v>
      </c>
      <c r="C737" s="1" t="s">
        <v>794</v>
      </c>
      <c r="D737" s="1" t="s">
        <v>183</v>
      </c>
      <c r="E737" s="1" t="s">
        <v>184</v>
      </c>
      <c r="F737" s="4">
        <v>45237.431944444441</v>
      </c>
      <c r="G737" s="4">
        <v>45237.431944444441</v>
      </c>
      <c r="H737" s="1" t="s">
        <v>21</v>
      </c>
      <c r="I737" s="1" t="s">
        <v>22</v>
      </c>
      <c r="J737" s="1" t="s">
        <v>63</v>
      </c>
      <c r="L737" s="2">
        <v>9925.14</v>
      </c>
    </row>
    <row r="738" spans="1:12" x14ac:dyDescent="0.2">
      <c r="A738" s="6" t="str">
        <f>VLOOKUP(J738,[1]Clientes!$C:$H,6,0)</f>
        <v>LANXESS</v>
      </c>
      <c r="B738" s="7">
        <f t="shared" si="14"/>
        <v>45237</v>
      </c>
      <c r="C738" s="1" t="s">
        <v>795</v>
      </c>
      <c r="D738" s="1" t="s">
        <v>183</v>
      </c>
      <c r="E738" s="1" t="s">
        <v>184</v>
      </c>
      <c r="F738" s="4">
        <v>45237.456250000003</v>
      </c>
      <c r="G738" s="4">
        <v>45237.456250000003</v>
      </c>
      <c r="H738" s="1" t="s">
        <v>21</v>
      </c>
      <c r="I738" s="1" t="s">
        <v>22</v>
      </c>
      <c r="J738" s="1" t="s">
        <v>221</v>
      </c>
      <c r="L738" s="2">
        <v>1854.92</v>
      </c>
    </row>
    <row r="739" spans="1:12" x14ac:dyDescent="0.2">
      <c r="A739" s="6" t="str">
        <f>VLOOKUP(J739,[1]Clientes!$C:$H,6,0)</f>
        <v>IMERYS</v>
      </c>
      <c r="B739" s="7">
        <f t="shared" si="14"/>
        <v>45237</v>
      </c>
      <c r="C739" s="1" t="s">
        <v>796</v>
      </c>
      <c r="D739" s="1" t="s">
        <v>183</v>
      </c>
      <c r="E739" s="1" t="s">
        <v>184</v>
      </c>
      <c r="F739" s="4">
        <v>45237.486805555556</v>
      </c>
      <c r="G739" s="4">
        <v>45237.486805555556</v>
      </c>
      <c r="H739" s="1" t="s">
        <v>21</v>
      </c>
      <c r="I739" s="1" t="s">
        <v>22</v>
      </c>
      <c r="J739" s="1" t="s">
        <v>188</v>
      </c>
      <c r="L739" s="2">
        <v>958.94</v>
      </c>
    </row>
    <row r="740" spans="1:12" x14ac:dyDescent="0.2">
      <c r="A740" s="6" t="str">
        <f>VLOOKUP(J740,[1]Clientes!$C:$H,6,0)</f>
        <v>CBA</v>
      </c>
      <c r="B740" s="7">
        <f t="shared" si="14"/>
        <v>45237</v>
      </c>
      <c r="C740" s="1" t="s">
        <v>797</v>
      </c>
      <c r="D740" s="1" t="s">
        <v>183</v>
      </c>
      <c r="E740" s="1" t="s">
        <v>184</v>
      </c>
      <c r="F740" s="4">
        <v>45237.541666666664</v>
      </c>
      <c r="G740" s="4">
        <v>45237.541666666664</v>
      </c>
      <c r="H740" s="1" t="s">
        <v>21</v>
      </c>
      <c r="I740" s="1" t="s">
        <v>22</v>
      </c>
      <c r="J740" s="1" t="s">
        <v>69</v>
      </c>
      <c r="L740" s="2">
        <v>3697.23</v>
      </c>
    </row>
    <row r="741" spans="1:12" x14ac:dyDescent="0.2">
      <c r="A741" s="6" t="str">
        <f>VLOOKUP(J741,[1]Clientes!$C:$H,6,0)</f>
        <v>CBA</v>
      </c>
      <c r="B741" s="7">
        <f t="shared" si="14"/>
        <v>45237</v>
      </c>
      <c r="C741" s="1" t="s">
        <v>798</v>
      </c>
      <c r="D741" s="1" t="s">
        <v>183</v>
      </c>
      <c r="E741" s="1" t="s">
        <v>184</v>
      </c>
      <c r="F741" s="4">
        <v>45237.545138888891</v>
      </c>
      <c r="G741" s="4">
        <v>45237.545138888891</v>
      </c>
      <c r="H741" s="1" t="s">
        <v>21</v>
      </c>
      <c r="I741" s="1" t="s">
        <v>22</v>
      </c>
      <c r="J741" s="1" t="s">
        <v>69</v>
      </c>
      <c r="L741" s="2">
        <v>3699.73</v>
      </c>
    </row>
    <row r="742" spans="1:12" x14ac:dyDescent="0.2">
      <c r="A742" s="6" t="s">
        <v>1</v>
      </c>
      <c r="B742" s="7">
        <f t="shared" si="14"/>
        <v>45237</v>
      </c>
      <c r="C742" s="1" t="s">
        <v>799</v>
      </c>
      <c r="D742" s="1" t="s">
        <v>19</v>
      </c>
      <c r="E742" s="1" t="s">
        <v>20</v>
      </c>
      <c r="F742" s="4">
        <v>45237.546527777777</v>
      </c>
      <c r="G742" s="4">
        <v>45237.546527777777</v>
      </c>
      <c r="H742" s="1" t="s">
        <v>21</v>
      </c>
      <c r="I742" s="1" t="s">
        <v>22</v>
      </c>
      <c r="J742" s="1" t="s">
        <v>25</v>
      </c>
      <c r="L742" s="2">
        <v>1542.51</v>
      </c>
    </row>
    <row r="743" spans="1:12" x14ac:dyDescent="0.2">
      <c r="A743" s="6" t="str">
        <f>VLOOKUP(J743,[1]Clientes!$C:$H,6,0)</f>
        <v>CBA</v>
      </c>
      <c r="B743" s="7">
        <f t="shared" si="14"/>
        <v>45237</v>
      </c>
      <c r="C743" s="1" t="s">
        <v>800</v>
      </c>
      <c r="D743" s="1" t="s">
        <v>19</v>
      </c>
      <c r="E743" s="1" t="s">
        <v>20</v>
      </c>
      <c r="F743" s="4">
        <v>45237.55</v>
      </c>
      <c r="G743" s="4">
        <v>45237.55</v>
      </c>
      <c r="H743" s="1" t="s">
        <v>21</v>
      </c>
      <c r="I743" s="1" t="s">
        <v>22</v>
      </c>
      <c r="J743" s="1" t="s">
        <v>69</v>
      </c>
      <c r="L743" s="2">
        <v>3692.56</v>
      </c>
    </row>
    <row r="744" spans="1:12" x14ac:dyDescent="0.2">
      <c r="A744" s="6" t="str">
        <f>VLOOKUP(J744,[1]Clientes!$C:$H,6,0)</f>
        <v>CBA</v>
      </c>
      <c r="B744" s="7">
        <f t="shared" si="14"/>
        <v>45237</v>
      </c>
      <c r="C744" s="1" t="s">
        <v>801</v>
      </c>
      <c r="D744" s="1" t="s">
        <v>19</v>
      </c>
      <c r="E744" s="1" t="s">
        <v>20</v>
      </c>
      <c r="F744" s="4">
        <v>45237.554166666669</v>
      </c>
      <c r="G744" s="4">
        <v>45237.554166666669</v>
      </c>
      <c r="H744" s="1" t="s">
        <v>21</v>
      </c>
      <c r="I744" s="1" t="s">
        <v>22</v>
      </c>
      <c r="J744" s="1" t="s">
        <v>69</v>
      </c>
      <c r="L744" s="2">
        <v>3697.48</v>
      </c>
    </row>
    <row r="745" spans="1:12" x14ac:dyDescent="0.2">
      <c r="A745" s="6" t="str">
        <f>VLOOKUP(J745,[1]Clientes!$C:$H,6,0)</f>
        <v>CBA</v>
      </c>
      <c r="B745" s="7">
        <f t="shared" si="14"/>
        <v>45237</v>
      </c>
      <c r="C745" s="1" t="s">
        <v>802</v>
      </c>
      <c r="D745" s="1" t="s">
        <v>183</v>
      </c>
      <c r="E745" s="1" t="s">
        <v>184</v>
      </c>
      <c r="F745" s="4">
        <v>45237.558333333334</v>
      </c>
      <c r="G745" s="4">
        <v>45237.558333333334</v>
      </c>
      <c r="H745" s="1" t="s">
        <v>21</v>
      </c>
      <c r="I745" s="1" t="s">
        <v>22</v>
      </c>
      <c r="J745" s="1" t="s">
        <v>69</v>
      </c>
      <c r="L745" s="2">
        <v>2761.01</v>
      </c>
    </row>
    <row r="746" spans="1:12" x14ac:dyDescent="0.2">
      <c r="A746" s="6" t="str">
        <f>VLOOKUP(J746,[1]Clientes!$C:$H,6,0)</f>
        <v>CBA</v>
      </c>
      <c r="B746" s="7">
        <f t="shared" si="14"/>
        <v>45237</v>
      </c>
      <c r="C746" s="1" t="s">
        <v>803</v>
      </c>
      <c r="D746" s="1" t="s">
        <v>183</v>
      </c>
      <c r="E746" s="1" t="s">
        <v>184</v>
      </c>
      <c r="F746" s="4">
        <v>45237.622916666667</v>
      </c>
      <c r="G746" s="4">
        <v>45237.622916666667</v>
      </c>
      <c r="H746" s="1" t="s">
        <v>21</v>
      </c>
      <c r="I746" s="1" t="s">
        <v>22</v>
      </c>
      <c r="J746" s="1" t="s">
        <v>69</v>
      </c>
      <c r="L746" s="2">
        <v>2654.15</v>
      </c>
    </row>
    <row r="747" spans="1:12" x14ac:dyDescent="0.2">
      <c r="A747" s="6" t="str">
        <f>VLOOKUP(J747,[1]Clientes!$C:$H,6,0)</f>
        <v>CBA</v>
      </c>
      <c r="B747" s="7">
        <f t="shared" si="14"/>
        <v>45237</v>
      </c>
      <c r="C747" s="1" t="s">
        <v>804</v>
      </c>
      <c r="D747" s="1" t="s">
        <v>183</v>
      </c>
      <c r="E747" s="1" t="s">
        <v>184</v>
      </c>
      <c r="F747" s="4">
        <v>45237.645138888889</v>
      </c>
      <c r="G747" s="4">
        <v>45237.645138888889</v>
      </c>
      <c r="H747" s="1" t="s">
        <v>21</v>
      </c>
      <c r="I747" s="1" t="s">
        <v>22</v>
      </c>
      <c r="J747" s="1" t="s">
        <v>69</v>
      </c>
      <c r="L747" s="2">
        <v>3051.63</v>
      </c>
    </row>
    <row r="748" spans="1:12" x14ac:dyDescent="0.2">
      <c r="A748" s="6" t="str">
        <f>VLOOKUP(J748,[1]Clientes!$C:$H,6,0)</f>
        <v>UNIPAR</v>
      </c>
      <c r="B748" s="7">
        <f t="shared" si="14"/>
        <v>45237</v>
      </c>
      <c r="C748" s="1" t="s">
        <v>805</v>
      </c>
      <c r="D748" s="1" t="s">
        <v>183</v>
      </c>
      <c r="E748" s="1" t="s">
        <v>184</v>
      </c>
      <c r="F748" s="4">
        <v>45237.657638888886</v>
      </c>
      <c r="G748" s="4">
        <v>45237.657638888886</v>
      </c>
      <c r="H748" s="1" t="s">
        <v>21</v>
      </c>
      <c r="I748" s="1" t="s">
        <v>22</v>
      </c>
      <c r="J748" s="1" t="s">
        <v>63</v>
      </c>
      <c r="L748" s="2">
        <v>4143.75</v>
      </c>
    </row>
    <row r="749" spans="1:12" x14ac:dyDescent="0.2">
      <c r="A749" s="6" t="str">
        <f>VLOOKUP(J749,[1]Clientes!$C:$H,6,0)</f>
        <v>LANXESS</v>
      </c>
      <c r="B749" s="7">
        <f t="shared" si="14"/>
        <v>45237</v>
      </c>
      <c r="C749" s="1" t="s">
        <v>806</v>
      </c>
      <c r="D749" s="1" t="s">
        <v>183</v>
      </c>
      <c r="E749" s="1" t="s">
        <v>184</v>
      </c>
      <c r="F749" s="4">
        <v>45237.665972222225</v>
      </c>
      <c r="G749" s="4">
        <v>45237.665972222225</v>
      </c>
      <c r="H749" s="1" t="s">
        <v>21</v>
      </c>
      <c r="I749" s="1" t="s">
        <v>22</v>
      </c>
      <c r="J749" s="1" t="s">
        <v>200</v>
      </c>
      <c r="L749" s="2">
        <v>1854.92</v>
      </c>
    </row>
    <row r="750" spans="1:12" x14ac:dyDescent="0.2">
      <c r="A750" s="6" t="str">
        <f>VLOOKUP(J750,[1]Clientes!$C:$H,6,0)</f>
        <v>CBA</v>
      </c>
      <c r="B750" s="7">
        <f t="shared" si="14"/>
        <v>45237</v>
      </c>
      <c r="C750" s="1" t="s">
        <v>807</v>
      </c>
      <c r="D750" s="1" t="s">
        <v>183</v>
      </c>
      <c r="E750" s="1" t="s">
        <v>184</v>
      </c>
      <c r="F750" s="4">
        <v>45237.6875</v>
      </c>
      <c r="G750" s="4">
        <v>45237.6875</v>
      </c>
      <c r="H750" s="1" t="s">
        <v>21</v>
      </c>
      <c r="I750" s="1" t="s">
        <v>22</v>
      </c>
      <c r="J750" s="1" t="s">
        <v>69</v>
      </c>
      <c r="L750" s="2">
        <v>7382.45</v>
      </c>
    </row>
    <row r="751" spans="1:12" x14ac:dyDescent="0.2">
      <c r="A751" s="6" t="str">
        <f>VLOOKUP(J751,[1]Clientes!$C:$H,6,0)</f>
        <v>CBA</v>
      </c>
      <c r="B751" s="7">
        <f t="shared" si="14"/>
        <v>45237</v>
      </c>
      <c r="C751" s="1" t="s">
        <v>808</v>
      </c>
      <c r="D751" s="1" t="s">
        <v>183</v>
      </c>
      <c r="E751" s="1" t="s">
        <v>184</v>
      </c>
      <c r="F751" s="4">
        <v>45237.690972222219</v>
      </c>
      <c r="G751" s="4">
        <v>45237.690972222219</v>
      </c>
      <c r="H751" s="1" t="s">
        <v>21</v>
      </c>
      <c r="I751" s="1" t="s">
        <v>22</v>
      </c>
      <c r="J751" s="1" t="s">
        <v>69</v>
      </c>
      <c r="L751" s="2">
        <v>3450.72</v>
      </c>
    </row>
    <row r="752" spans="1:12" x14ac:dyDescent="0.2">
      <c r="A752" s="6" t="str">
        <f>VLOOKUP(J752,[1]Clientes!$C:$H,6,0)</f>
        <v>IMERYS</v>
      </c>
      <c r="B752" s="7">
        <f t="shared" si="14"/>
        <v>45237</v>
      </c>
      <c r="C752" s="1" t="s">
        <v>809</v>
      </c>
      <c r="D752" s="1" t="s">
        <v>183</v>
      </c>
      <c r="E752" s="1" t="s">
        <v>184</v>
      </c>
      <c r="F752" s="4">
        <v>45237.76458333333</v>
      </c>
      <c r="G752" s="4">
        <v>45237.76458333333</v>
      </c>
      <c r="H752" s="1" t="s">
        <v>21</v>
      </c>
      <c r="I752" s="1" t="s">
        <v>22</v>
      </c>
      <c r="J752" s="1" t="s">
        <v>188</v>
      </c>
      <c r="L752" s="2">
        <v>1071.93</v>
      </c>
    </row>
    <row r="753" spans="1:12" x14ac:dyDescent="0.2">
      <c r="A753" s="6" t="s">
        <v>1</v>
      </c>
      <c r="B753" s="7">
        <f t="shared" si="14"/>
        <v>45237</v>
      </c>
      <c r="C753" s="1" t="s">
        <v>810</v>
      </c>
      <c r="D753" s="1" t="s">
        <v>19</v>
      </c>
      <c r="E753" s="1" t="s">
        <v>20</v>
      </c>
      <c r="F753" s="4">
        <v>45237.77847222222</v>
      </c>
      <c r="G753" s="4">
        <v>45237.77847222222</v>
      </c>
      <c r="H753" s="1" t="s">
        <v>21</v>
      </c>
      <c r="I753" s="1" t="s">
        <v>22</v>
      </c>
      <c r="J753" s="1" t="s">
        <v>25</v>
      </c>
      <c r="L753" s="2">
        <v>1580.55</v>
      </c>
    </row>
    <row r="754" spans="1:12" x14ac:dyDescent="0.2">
      <c r="A754" s="6" t="str">
        <f>VLOOKUP(J754,[1]Clientes!$C:$H,6,0)</f>
        <v>IMERYS</v>
      </c>
      <c r="B754" s="7">
        <f t="shared" si="14"/>
        <v>45237</v>
      </c>
      <c r="C754" s="1" t="s">
        <v>811</v>
      </c>
      <c r="D754" s="1" t="s">
        <v>183</v>
      </c>
      <c r="E754" s="1" t="s">
        <v>184</v>
      </c>
      <c r="F754" s="4">
        <v>45237.826388888891</v>
      </c>
      <c r="G754" s="4">
        <v>45237.826388888891</v>
      </c>
      <c r="H754" s="1" t="s">
        <v>21</v>
      </c>
      <c r="I754" s="1" t="s">
        <v>22</v>
      </c>
      <c r="J754" s="1" t="s">
        <v>188</v>
      </c>
      <c r="L754" s="2">
        <v>2516.14</v>
      </c>
    </row>
    <row r="755" spans="1:12" x14ac:dyDescent="0.2">
      <c r="A755" s="6" t="s">
        <v>1</v>
      </c>
      <c r="B755" s="7">
        <f t="shared" si="14"/>
        <v>45237</v>
      </c>
      <c r="C755" s="1" t="s">
        <v>812</v>
      </c>
      <c r="D755" s="1" t="s">
        <v>19</v>
      </c>
      <c r="E755" s="1" t="s">
        <v>20</v>
      </c>
      <c r="F755" s="4">
        <v>45237.895833333336</v>
      </c>
      <c r="G755" s="4">
        <v>45237.895833333336</v>
      </c>
      <c r="H755" s="1" t="s">
        <v>21</v>
      </c>
      <c r="I755" s="1" t="s">
        <v>22</v>
      </c>
      <c r="J755" s="1" t="s">
        <v>25</v>
      </c>
      <c r="L755" s="2">
        <v>2182.5500000000002</v>
      </c>
    </row>
    <row r="756" spans="1:12" x14ac:dyDescent="0.2">
      <c r="A756" s="6" t="str">
        <f>VLOOKUP(J756,[1]Clientes!$C:$H,6,0)</f>
        <v>AMBEV</v>
      </c>
      <c r="B756" s="7">
        <f t="shared" si="14"/>
        <v>45237</v>
      </c>
      <c r="C756" s="1" t="s">
        <v>813</v>
      </c>
      <c r="D756" s="1" t="s">
        <v>183</v>
      </c>
      <c r="E756" s="1" t="s">
        <v>184</v>
      </c>
      <c r="F756" s="4">
        <v>45237.90347222222</v>
      </c>
      <c r="G756" s="4">
        <v>45237.90347222222</v>
      </c>
      <c r="H756" s="1" t="s">
        <v>21</v>
      </c>
      <c r="I756" s="1" t="s">
        <v>22</v>
      </c>
      <c r="J756" s="1" t="s">
        <v>721</v>
      </c>
      <c r="L756" s="2">
        <v>16919.93</v>
      </c>
    </row>
    <row r="757" spans="1:12" x14ac:dyDescent="0.2">
      <c r="A757" s="6" t="str">
        <f>VLOOKUP(J757,[1]Clientes!$C:$H,6,0)</f>
        <v>UNIPAR</v>
      </c>
      <c r="B757" s="7">
        <f t="shared" ref="B757:B820" si="15">QUOTIENT(F757,1)</f>
        <v>45237</v>
      </c>
      <c r="C757" s="1" t="s">
        <v>814</v>
      </c>
      <c r="D757" s="1" t="s">
        <v>183</v>
      </c>
      <c r="E757" s="1" t="s">
        <v>184</v>
      </c>
      <c r="F757" s="4">
        <v>45237.904166666667</v>
      </c>
      <c r="G757" s="4">
        <v>45237.904166666667</v>
      </c>
      <c r="H757" s="1" t="s">
        <v>21</v>
      </c>
      <c r="I757" s="1" t="s">
        <v>22</v>
      </c>
      <c r="J757" s="1" t="s">
        <v>63</v>
      </c>
      <c r="L757" s="2">
        <v>21657.68</v>
      </c>
    </row>
    <row r="758" spans="1:12" x14ac:dyDescent="0.2">
      <c r="A758" s="6" t="str">
        <f>VLOOKUP(J758,[1]Clientes!$C:$H,6,0)</f>
        <v>AMBEV</v>
      </c>
      <c r="B758" s="7">
        <f t="shared" si="15"/>
        <v>45238</v>
      </c>
      <c r="C758" s="1" t="s">
        <v>815</v>
      </c>
      <c r="D758" s="1" t="s">
        <v>183</v>
      </c>
      <c r="E758" s="1" t="s">
        <v>184</v>
      </c>
      <c r="F758" s="4">
        <v>45238.038194444445</v>
      </c>
      <c r="G758" s="4">
        <v>45238.038194444445</v>
      </c>
      <c r="H758" s="1" t="s">
        <v>21</v>
      </c>
      <c r="I758" s="1" t="s">
        <v>22</v>
      </c>
      <c r="J758" s="1" t="s">
        <v>340</v>
      </c>
      <c r="L758" s="2">
        <v>16919.93</v>
      </c>
    </row>
    <row r="759" spans="1:12" x14ac:dyDescent="0.2">
      <c r="A759" s="6" t="str">
        <f>VLOOKUP(J759,[1]Clientes!$C:$H,6,0)</f>
        <v>AMBEV</v>
      </c>
      <c r="B759" s="7">
        <f t="shared" si="15"/>
        <v>45238</v>
      </c>
      <c r="C759" s="1" t="s">
        <v>816</v>
      </c>
      <c r="D759" s="1" t="s">
        <v>183</v>
      </c>
      <c r="E759" s="1" t="s">
        <v>184</v>
      </c>
      <c r="F759" s="4">
        <v>45238.124305555553</v>
      </c>
      <c r="G759" s="4">
        <v>45238.124305555553</v>
      </c>
      <c r="H759" s="1" t="s">
        <v>21</v>
      </c>
      <c r="I759" s="1" t="s">
        <v>22</v>
      </c>
      <c r="J759" s="1" t="s">
        <v>340</v>
      </c>
      <c r="L759" s="2">
        <v>16919.93</v>
      </c>
    </row>
    <row r="760" spans="1:12" x14ac:dyDescent="0.2">
      <c r="A760" s="6" t="str">
        <f>VLOOKUP(J760,[1]Clientes!$C:$H,6,0)</f>
        <v>AMBEV</v>
      </c>
      <c r="B760" s="7">
        <f t="shared" si="15"/>
        <v>45238</v>
      </c>
      <c r="C760" s="1" t="s">
        <v>817</v>
      </c>
      <c r="D760" s="1" t="s">
        <v>19</v>
      </c>
      <c r="E760" s="1" t="s">
        <v>20</v>
      </c>
      <c r="F760" s="4">
        <v>45238.254861111112</v>
      </c>
      <c r="G760" s="4">
        <v>45238.254861111112</v>
      </c>
      <c r="H760" s="1" t="s">
        <v>21</v>
      </c>
      <c r="I760" s="1" t="s">
        <v>22</v>
      </c>
      <c r="J760" s="1" t="s">
        <v>727</v>
      </c>
      <c r="L760" s="2">
        <v>566.69000000000005</v>
      </c>
    </row>
    <row r="761" spans="1:12" x14ac:dyDescent="0.2">
      <c r="A761" s="6" t="str">
        <f>VLOOKUP(J761,[1]Clientes!$C:$H,6,0)</f>
        <v>UNIPAR</v>
      </c>
      <c r="B761" s="7">
        <f t="shared" si="15"/>
        <v>45238</v>
      </c>
      <c r="C761" s="1" t="s">
        <v>818</v>
      </c>
      <c r="D761" s="1" t="s">
        <v>183</v>
      </c>
      <c r="E761" s="1" t="s">
        <v>184</v>
      </c>
      <c r="F761" s="4">
        <v>45238.306944444441</v>
      </c>
      <c r="G761" s="4">
        <v>45238.306944444441</v>
      </c>
      <c r="H761" s="1" t="s">
        <v>21</v>
      </c>
      <c r="I761" s="1" t="s">
        <v>22</v>
      </c>
      <c r="J761" s="1" t="s">
        <v>63</v>
      </c>
      <c r="L761" s="2">
        <v>3425.27</v>
      </c>
    </row>
    <row r="762" spans="1:12" x14ac:dyDescent="0.2">
      <c r="A762" s="6" t="str">
        <f>VLOOKUP(J762,[1]Clientes!$C:$H,6,0)</f>
        <v>UNIPAR</v>
      </c>
      <c r="B762" s="7">
        <f t="shared" si="15"/>
        <v>45238</v>
      </c>
      <c r="C762" s="1" t="s">
        <v>819</v>
      </c>
      <c r="D762" s="1" t="s">
        <v>183</v>
      </c>
      <c r="E762" s="1" t="s">
        <v>184</v>
      </c>
      <c r="F762" s="4">
        <v>45238.317361111112</v>
      </c>
      <c r="G762" s="4">
        <v>45238.317361111112</v>
      </c>
      <c r="H762" s="1" t="s">
        <v>21</v>
      </c>
      <c r="I762" s="1" t="s">
        <v>22</v>
      </c>
      <c r="J762" s="1" t="s">
        <v>63</v>
      </c>
      <c r="L762" s="2">
        <v>3425.27</v>
      </c>
    </row>
    <row r="763" spans="1:12" x14ac:dyDescent="0.2">
      <c r="A763" s="6" t="str">
        <f>VLOOKUP(J763,[1]Clientes!$C:$H,6,0)</f>
        <v>UNIPAR</v>
      </c>
      <c r="B763" s="7">
        <f t="shared" si="15"/>
        <v>45238</v>
      </c>
      <c r="C763" s="1" t="s">
        <v>820</v>
      </c>
      <c r="D763" s="1" t="s">
        <v>19</v>
      </c>
      <c r="E763" s="1" t="s">
        <v>20</v>
      </c>
      <c r="F763" s="4">
        <v>45238.323611111111</v>
      </c>
      <c r="G763" s="4">
        <v>45238.323611111111</v>
      </c>
      <c r="H763" s="1" t="s">
        <v>21</v>
      </c>
      <c r="I763" s="1" t="s">
        <v>22</v>
      </c>
      <c r="J763" s="1" t="s">
        <v>63</v>
      </c>
      <c r="L763" s="2">
        <v>3425.27</v>
      </c>
    </row>
    <row r="764" spans="1:12" x14ac:dyDescent="0.2">
      <c r="A764" s="6" t="str">
        <f>VLOOKUP(J764,[1]Clientes!$C:$H,6,0)</f>
        <v>AMBEV</v>
      </c>
      <c r="B764" s="7">
        <f t="shared" si="15"/>
        <v>45238</v>
      </c>
      <c r="C764" s="1" t="s">
        <v>821</v>
      </c>
      <c r="D764" s="1" t="s">
        <v>183</v>
      </c>
      <c r="E764" s="1" t="s">
        <v>184</v>
      </c>
      <c r="F764" s="4">
        <v>45238.328472222223</v>
      </c>
      <c r="G764" s="4">
        <v>45238.328472222223</v>
      </c>
      <c r="H764" s="1" t="s">
        <v>21</v>
      </c>
      <c r="I764" s="1" t="s">
        <v>22</v>
      </c>
      <c r="J764" s="1" t="s">
        <v>513</v>
      </c>
      <c r="L764" s="2">
        <v>16919.93</v>
      </c>
    </row>
    <row r="765" spans="1:12" x14ac:dyDescent="0.2">
      <c r="A765" s="6" t="str">
        <f>VLOOKUP(J765,[1]Clientes!$C:$H,6,0)</f>
        <v>OUTROS</v>
      </c>
      <c r="B765" s="7">
        <f t="shared" si="15"/>
        <v>45238</v>
      </c>
      <c r="C765" s="1" t="s">
        <v>822</v>
      </c>
      <c r="D765" s="1" t="s">
        <v>183</v>
      </c>
      <c r="E765" s="1" t="s">
        <v>184</v>
      </c>
      <c r="F765" s="4">
        <v>45238.352777777778</v>
      </c>
      <c r="G765" s="4">
        <v>45238.352777777778</v>
      </c>
      <c r="H765" s="1" t="s">
        <v>21</v>
      </c>
      <c r="I765" s="1" t="s">
        <v>22</v>
      </c>
      <c r="J765" s="1" t="s">
        <v>365</v>
      </c>
      <c r="L765" s="2">
        <v>803.14</v>
      </c>
    </row>
    <row r="766" spans="1:12" x14ac:dyDescent="0.2">
      <c r="A766" s="6" t="s">
        <v>1</v>
      </c>
      <c r="B766" s="7">
        <f t="shared" si="15"/>
        <v>45238</v>
      </c>
      <c r="C766" s="1" t="s">
        <v>823</v>
      </c>
      <c r="D766" s="1" t="s">
        <v>19</v>
      </c>
      <c r="E766" s="1" t="s">
        <v>20</v>
      </c>
      <c r="F766" s="4">
        <v>45238.442361111112</v>
      </c>
      <c r="G766" s="4">
        <v>45238.442361111112</v>
      </c>
      <c r="H766" s="1" t="s">
        <v>21</v>
      </c>
      <c r="I766" s="1" t="s">
        <v>22</v>
      </c>
      <c r="J766" s="1" t="s">
        <v>25</v>
      </c>
      <c r="L766" s="2">
        <v>2122.31</v>
      </c>
    </row>
    <row r="767" spans="1:12" x14ac:dyDescent="0.2">
      <c r="A767" s="6" t="s">
        <v>1</v>
      </c>
      <c r="B767" s="7">
        <f t="shared" si="15"/>
        <v>45238</v>
      </c>
      <c r="C767" s="1" t="s">
        <v>824</v>
      </c>
      <c r="D767" s="1" t="s">
        <v>19</v>
      </c>
      <c r="E767" s="1" t="s">
        <v>20</v>
      </c>
      <c r="F767" s="4">
        <v>45238.452777777777</v>
      </c>
      <c r="G767" s="4">
        <v>45238.452777777777</v>
      </c>
      <c r="H767" s="1" t="s">
        <v>21</v>
      </c>
      <c r="I767" s="1" t="s">
        <v>22</v>
      </c>
      <c r="J767" s="1" t="s">
        <v>25</v>
      </c>
      <c r="L767" s="2">
        <v>2182.5500000000002</v>
      </c>
    </row>
    <row r="768" spans="1:12" x14ac:dyDescent="0.2">
      <c r="A768" s="6" t="str">
        <f>VLOOKUP(J768,[1]Clientes!$C:$H,6,0)</f>
        <v>AMBEV</v>
      </c>
      <c r="B768" s="7">
        <f t="shared" si="15"/>
        <v>45238</v>
      </c>
      <c r="C768" s="1" t="s">
        <v>825</v>
      </c>
      <c r="D768" s="1" t="s">
        <v>183</v>
      </c>
      <c r="E768" s="1" t="s">
        <v>184</v>
      </c>
      <c r="F768" s="4">
        <v>45238.457638888889</v>
      </c>
      <c r="G768" s="4">
        <v>45238.457638888889</v>
      </c>
      <c r="H768" s="1" t="s">
        <v>21</v>
      </c>
      <c r="I768" s="1" t="s">
        <v>22</v>
      </c>
      <c r="J768" s="1" t="s">
        <v>513</v>
      </c>
      <c r="L768" s="2">
        <v>16919.93</v>
      </c>
    </row>
    <row r="769" spans="1:12" x14ac:dyDescent="0.2">
      <c r="A769" s="6" t="str">
        <f>VLOOKUP(J769,[1]Clientes!$C:$H,6,0)</f>
        <v>LANXESS</v>
      </c>
      <c r="B769" s="7">
        <f t="shared" si="15"/>
        <v>45238</v>
      </c>
      <c r="C769" s="1" t="s">
        <v>826</v>
      </c>
      <c r="D769" s="1" t="s">
        <v>183</v>
      </c>
      <c r="E769" s="1" t="s">
        <v>184</v>
      </c>
      <c r="F769" s="4">
        <v>45238.46597222222</v>
      </c>
      <c r="G769" s="4">
        <v>45238.46597222222</v>
      </c>
      <c r="H769" s="1" t="s">
        <v>21</v>
      </c>
      <c r="I769" s="1" t="s">
        <v>22</v>
      </c>
      <c r="J769" s="1" t="s">
        <v>221</v>
      </c>
      <c r="L769" s="2">
        <v>3776.68</v>
      </c>
    </row>
    <row r="770" spans="1:12" x14ac:dyDescent="0.2">
      <c r="A770" s="6" t="str">
        <f>VLOOKUP(J770,[1]Clientes!$C:$H,6,0)</f>
        <v>AMBEV</v>
      </c>
      <c r="B770" s="7">
        <f t="shared" si="15"/>
        <v>45238</v>
      </c>
      <c r="C770" s="1" t="s">
        <v>827</v>
      </c>
      <c r="D770" s="1" t="s">
        <v>183</v>
      </c>
      <c r="E770" s="1" t="s">
        <v>184</v>
      </c>
      <c r="F770" s="4">
        <v>45238.472916666666</v>
      </c>
      <c r="G770" s="4">
        <v>45238.472916666666</v>
      </c>
      <c r="H770" s="1" t="s">
        <v>21</v>
      </c>
      <c r="I770" s="1" t="s">
        <v>22</v>
      </c>
      <c r="J770" s="1" t="s">
        <v>513</v>
      </c>
      <c r="L770" s="2">
        <v>16919.93</v>
      </c>
    </row>
    <row r="771" spans="1:12" x14ac:dyDescent="0.2">
      <c r="A771" s="6" t="str">
        <f>VLOOKUP(J771,[1]Clientes!$C:$H,6,0)</f>
        <v>LANXESS</v>
      </c>
      <c r="B771" s="7">
        <f t="shared" si="15"/>
        <v>45238</v>
      </c>
      <c r="C771" s="1" t="s">
        <v>828</v>
      </c>
      <c r="D771" s="1" t="s">
        <v>183</v>
      </c>
      <c r="E771" s="1" t="s">
        <v>184</v>
      </c>
      <c r="F771" s="4">
        <v>45238.48333333333</v>
      </c>
      <c r="G771" s="4">
        <v>45238.48333333333</v>
      </c>
      <c r="H771" s="1" t="s">
        <v>21</v>
      </c>
      <c r="I771" s="1" t="s">
        <v>22</v>
      </c>
      <c r="J771" s="1" t="s">
        <v>221</v>
      </c>
      <c r="L771" s="2">
        <v>1450.44</v>
      </c>
    </row>
    <row r="772" spans="1:12" x14ac:dyDescent="0.2">
      <c r="A772" s="6" t="str">
        <f>VLOOKUP(J772,[1]Clientes!$C:$H,6,0)</f>
        <v>CBA</v>
      </c>
      <c r="B772" s="7">
        <f t="shared" si="15"/>
        <v>45238</v>
      </c>
      <c r="C772" s="1" t="s">
        <v>829</v>
      </c>
      <c r="D772" s="1" t="s">
        <v>183</v>
      </c>
      <c r="E772" s="1" t="s">
        <v>184</v>
      </c>
      <c r="F772" s="4">
        <v>45238.502083333333</v>
      </c>
      <c r="G772" s="4">
        <v>45238.502083333333</v>
      </c>
      <c r="H772" s="1" t="s">
        <v>21</v>
      </c>
      <c r="I772" s="1" t="s">
        <v>22</v>
      </c>
      <c r="J772" s="1" t="s">
        <v>69</v>
      </c>
      <c r="L772" s="2">
        <v>2720.07</v>
      </c>
    </row>
    <row r="773" spans="1:12" x14ac:dyDescent="0.2">
      <c r="A773" s="6" t="str">
        <f>VLOOKUP(J773,[1]Clientes!$C:$H,6,0)</f>
        <v>UNIPAR</v>
      </c>
      <c r="B773" s="7">
        <f t="shared" si="15"/>
        <v>45238</v>
      </c>
      <c r="C773" s="1" t="s">
        <v>830</v>
      </c>
      <c r="D773" s="1" t="s">
        <v>183</v>
      </c>
      <c r="E773" s="1" t="s">
        <v>184</v>
      </c>
      <c r="F773" s="4">
        <v>45238.515277777777</v>
      </c>
      <c r="G773" s="4">
        <v>45238.515277777777</v>
      </c>
      <c r="H773" s="1" t="s">
        <v>21</v>
      </c>
      <c r="I773" s="1" t="s">
        <v>22</v>
      </c>
      <c r="J773" s="1" t="s">
        <v>63</v>
      </c>
      <c r="L773" s="2">
        <v>8219.0300000000007</v>
      </c>
    </row>
    <row r="774" spans="1:12" x14ac:dyDescent="0.2">
      <c r="A774" s="6" t="str">
        <f>VLOOKUP(J774,[1]Clientes!$C:$H,6,0)</f>
        <v>AMBEV</v>
      </c>
      <c r="B774" s="7">
        <f t="shared" si="15"/>
        <v>45238</v>
      </c>
      <c r="C774" s="1" t="s">
        <v>831</v>
      </c>
      <c r="D774" s="1" t="s">
        <v>183</v>
      </c>
      <c r="E774" s="1" t="s">
        <v>184</v>
      </c>
      <c r="F774" s="4">
        <v>45238.535416666666</v>
      </c>
      <c r="G774" s="4">
        <v>45238.535416666666</v>
      </c>
      <c r="H774" s="1" t="s">
        <v>21</v>
      </c>
      <c r="I774" s="1" t="s">
        <v>22</v>
      </c>
      <c r="J774" s="1" t="s">
        <v>340</v>
      </c>
      <c r="L774" s="2">
        <v>16919.93</v>
      </c>
    </row>
    <row r="775" spans="1:12" x14ac:dyDescent="0.2">
      <c r="A775" s="6" t="str">
        <f>VLOOKUP(J775,[1]Clientes!$C:$H,6,0)</f>
        <v>CBA</v>
      </c>
      <c r="B775" s="7">
        <f t="shared" si="15"/>
        <v>45238</v>
      </c>
      <c r="C775" s="1" t="s">
        <v>832</v>
      </c>
      <c r="D775" s="1" t="s">
        <v>183</v>
      </c>
      <c r="E775" s="1" t="s">
        <v>184</v>
      </c>
      <c r="F775" s="4">
        <v>45238.557638888888</v>
      </c>
      <c r="G775" s="4">
        <v>45238.557638888888</v>
      </c>
      <c r="H775" s="1" t="s">
        <v>21</v>
      </c>
      <c r="I775" s="1" t="s">
        <v>22</v>
      </c>
      <c r="J775" s="1" t="s">
        <v>381</v>
      </c>
      <c r="L775" s="2">
        <v>5805.5</v>
      </c>
    </row>
    <row r="776" spans="1:12" x14ac:dyDescent="0.2">
      <c r="A776" s="6" t="str">
        <f>VLOOKUP(J776,[1]Clientes!$C:$H,6,0)</f>
        <v>OUTROS</v>
      </c>
      <c r="B776" s="7">
        <f t="shared" si="15"/>
        <v>45238</v>
      </c>
      <c r="C776" s="1" t="s">
        <v>833</v>
      </c>
      <c r="D776" s="1" t="s">
        <v>183</v>
      </c>
      <c r="E776" s="1" t="s">
        <v>184</v>
      </c>
      <c r="F776" s="4">
        <v>45238.57708333333</v>
      </c>
      <c r="G776" s="4">
        <v>45238.57708333333</v>
      </c>
      <c r="H776" s="1" t="s">
        <v>21</v>
      </c>
      <c r="I776" s="1" t="s">
        <v>22</v>
      </c>
      <c r="J776" s="1" t="s">
        <v>234</v>
      </c>
      <c r="L776" s="2">
        <v>980</v>
      </c>
    </row>
    <row r="777" spans="1:12" x14ac:dyDescent="0.2">
      <c r="A777" s="6" t="str">
        <f>VLOOKUP(J777,[1]Clientes!$C:$H,6,0)</f>
        <v>CBA</v>
      </c>
      <c r="B777" s="7">
        <f t="shared" si="15"/>
        <v>45238</v>
      </c>
      <c r="C777" s="1" t="s">
        <v>834</v>
      </c>
      <c r="D777" s="1" t="s">
        <v>183</v>
      </c>
      <c r="E777" s="1" t="s">
        <v>184</v>
      </c>
      <c r="F777" s="4">
        <v>45238.613194444442</v>
      </c>
      <c r="G777" s="4">
        <v>45238.613194444442</v>
      </c>
      <c r="H777" s="1" t="s">
        <v>21</v>
      </c>
      <c r="I777" s="1" t="s">
        <v>22</v>
      </c>
      <c r="J777" s="1" t="s">
        <v>69</v>
      </c>
      <c r="L777" s="2">
        <v>3696.35</v>
      </c>
    </row>
    <row r="778" spans="1:12" x14ac:dyDescent="0.2">
      <c r="A778" s="6" t="str">
        <f>VLOOKUP(J778,[1]Clientes!$C:$H,6,0)</f>
        <v>CBA</v>
      </c>
      <c r="B778" s="7">
        <f t="shared" si="15"/>
        <v>45238</v>
      </c>
      <c r="C778" s="1" t="s">
        <v>835</v>
      </c>
      <c r="D778" s="1" t="s">
        <v>183</v>
      </c>
      <c r="E778" s="1" t="s">
        <v>184</v>
      </c>
      <c r="F778" s="4">
        <v>45238.615277777775</v>
      </c>
      <c r="G778" s="4">
        <v>45238.615277777775</v>
      </c>
      <c r="H778" s="1" t="s">
        <v>21</v>
      </c>
      <c r="I778" s="1" t="s">
        <v>22</v>
      </c>
      <c r="J778" s="1" t="s">
        <v>69</v>
      </c>
      <c r="L778" s="2">
        <v>3695.73</v>
      </c>
    </row>
    <row r="779" spans="1:12" x14ac:dyDescent="0.2">
      <c r="A779" s="6" t="str">
        <f>VLOOKUP(J779,[1]Clientes!$C:$H,6,0)</f>
        <v>CBA</v>
      </c>
      <c r="B779" s="7">
        <f t="shared" si="15"/>
        <v>45238</v>
      </c>
      <c r="C779" s="1" t="s">
        <v>836</v>
      </c>
      <c r="D779" s="1" t="s">
        <v>183</v>
      </c>
      <c r="E779" s="1" t="s">
        <v>184</v>
      </c>
      <c r="F779" s="4">
        <v>45238.618055555555</v>
      </c>
      <c r="G779" s="4">
        <v>45238.618055555555</v>
      </c>
      <c r="H779" s="1" t="s">
        <v>21</v>
      </c>
      <c r="I779" s="1" t="s">
        <v>22</v>
      </c>
      <c r="J779" s="1" t="s">
        <v>69</v>
      </c>
      <c r="L779" s="2">
        <v>3692.68</v>
      </c>
    </row>
    <row r="780" spans="1:12" x14ac:dyDescent="0.2">
      <c r="A780" s="6" t="str">
        <f>VLOOKUP(J780,[1]Clientes!$C:$H,6,0)</f>
        <v>CBA</v>
      </c>
      <c r="B780" s="7">
        <f t="shared" si="15"/>
        <v>45238</v>
      </c>
      <c r="C780" s="1" t="s">
        <v>837</v>
      </c>
      <c r="D780" s="1" t="s">
        <v>183</v>
      </c>
      <c r="E780" s="1" t="s">
        <v>184</v>
      </c>
      <c r="F780" s="4">
        <v>45238.620833333334</v>
      </c>
      <c r="G780" s="4">
        <v>45238.620833333334</v>
      </c>
      <c r="H780" s="1" t="s">
        <v>21</v>
      </c>
      <c r="I780" s="1" t="s">
        <v>22</v>
      </c>
      <c r="J780" s="1" t="s">
        <v>69</v>
      </c>
      <c r="L780" s="2">
        <v>3699.73</v>
      </c>
    </row>
    <row r="781" spans="1:12" x14ac:dyDescent="0.2">
      <c r="A781" s="6" t="str">
        <f>VLOOKUP(J781,[1]Clientes!$C:$H,6,0)</f>
        <v>CBA</v>
      </c>
      <c r="B781" s="7">
        <f t="shared" si="15"/>
        <v>45238</v>
      </c>
      <c r="C781" s="1" t="s">
        <v>838</v>
      </c>
      <c r="D781" s="1" t="s">
        <v>183</v>
      </c>
      <c r="E781" s="1" t="s">
        <v>184</v>
      </c>
      <c r="F781" s="4">
        <v>45238.673611111109</v>
      </c>
      <c r="G781" s="4">
        <v>45238.673611111109</v>
      </c>
      <c r="H781" s="1" t="s">
        <v>21</v>
      </c>
      <c r="I781" s="1" t="s">
        <v>22</v>
      </c>
      <c r="J781" s="1" t="s">
        <v>69</v>
      </c>
      <c r="L781" s="2">
        <v>6349.53</v>
      </c>
    </row>
    <row r="782" spans="1:12" x14ac:dyDescent="0.2">
      <c r="A782" s="6" t="s">
        <v>1</v>
      </c>
      <c r="B782" s="7">
        <f t="shared" si="15"/>
        <v>45238</v>
      </c>
      <c r="C782" s="1" t="s">
        <v>839</v>
      </c>
      <c r="D782" s="1" t="s">
        <v>19</v>
      </c>
      <c r="E782" s="1" t="s">
        <v>20</v>
      </c>
      <c r="F782" s="4">
        <v>45238.679861111108</v>
      </c>
      <c r="G782" s="4">
        <v>45238.679861111108</v>
      </c>
      <c r="H782" s="1" t="s">
        <v>21</v>
      </c>
      <c r="I782" s="1" t="s">
        <v>22</v>
      </c>
      <c r="J782" s="1" t="s">
        <v>25</v>
      </c>
      <c r="L782" s="2">
        <v>3884.16</v>
      </c>
    </row>
    <row r="783" spans="1:12" x14ac:dyDescent="0.2">
      <c r="A783" s="6" t="str">
        <f>VLOOKUP(J783,[1]Clientes!$C:$H,6,0)</f>
        <v>IMERYS</v>
      </c>
      <c r="B783" s="7">
        <f t="shared" si="15"/>
        <v>45238</v>
      </c>
      <c r="C783" s="1" t="s">
        <v>840</v>
      </c>
      <c r="D783" s="1" t="s">
        <v>183</v>
      </c>
      <c r="E783" s="1" t="s">
        <v>184</v>
      </c>
      <c r="F783" s="4">
        <v>45238.686805555553</v>
      </c>
      <c r="G783" s="4">
        <v>45238.686805555553</v>
      </c>
      <c r="H783" s="1" t="s">
        <v>21</v>
      </c>
      <c r="I783" s="1" t="s">
        <v>22</v>
      </c>
      <c r="J783" s="1" t="s">
        <v>188</v>
      </c>
      <c r="L783" s="2">
        <v>1071.93</v>
      </c>
    </row>
    <row r="784" spans="1:12" x14ac:dyDescent="0.2">
      <c r="A784" s="6" t="str">
        <f>VLOOKUP(J784,[1]Clientes!$C:$H,6,0)</f>
        <v>LANXESS</v>
      </c>
      <c r="B784" s="7">
        <f t="shared" si="15"/>
        <v>45238</v>
      </c>
      <c r="C784" s="1" t="s">
        <v>841</v>
      </c>
      <c r="D784" s="1" t="s">
        <v>183</v>
      </c>
      <c r="E784" s="1" t="s">
        <v>184</v>
      </c>
      <c r="F784" s="4">
        <v>45238.688194444447</v>
      </c>
      <c r="G784" s="4">
        <v>45238.688194444447</v>
      </c>
      <c r="H784" s="1" t="s">
        <v>21</v>
      </c>
      <c r="I784" s="1" t="s">
        <v>22</v>
      </c>
      <c r="J784" s="1" t="s">
        <v>221</v>
      </c>
      <c r="L784" s="2">
        <v>801.97</v>
      </c>
    </row>
    <row r="785" spans="1:12" x14ac:dyDescent="0.2">
      <c r="A785" s="6" t="str">
        <f>VLOOKUP(J785,[1]Clientes!$C:$H,6,0)</f>
        <v>CBA</v>
      </c>
      <c r="B785" s="7">
        <f t="shared" si="15"/>
        <v>45238</v>
      </c>
      <c r="C785" s="1" t="s">
        <v>842</v>
      </c>
      <c r="D785" s="1" t="s">
        <v>183</v>
      </c>
      <c r="E785" s="1" t="s">
        <v>184</v>
      </c>
      <c r="F785" s="4">
        <v>45238.69027777778</v>
      </c>
      <c r="G785" s="4">
        <v>45238.69027777778</v>
      </c>
      <c r="H785" s="1" t="s">
        <v>21</v>
      </c>
      <c r="I785" s="1" t="s">
        <v>22</v>
      </c>
      <c r="J785" s="1" t="s">
        <v>69</v>
      </c>
      <c r="L785" s="2">
        <v>2581.94</v>
      </c>
    </row>
    <row r="786" spans="1:12" x14ac:dyDescent="0.2">
      <c r="A786" s="6" t="str">
        <f>VLOOKUP(J786,[1]Clientes!$C:$H,6,0)</f>
        <v>IMERYS</v>
      </c>
      <c r="B786" s="7">
        <f t="shared" si="15"/>
        <v>45238</v>
      </c>
      <c r="C786" s="1" t="s">
        <v>843</v>
      </c>
      <c r="D786" s="1" t="s">
        <v>183</v>
      </c>
      <c r="E786" s="1" t="s">
        <v>184</v>
      </c>
      <c r="F786" s="4">
        <v>45238.7</v>
      </c>
      <c r="G786" s="4">
        <v>45238.7</v>
      </c>
      <c r="H786" s="1" t="s">
        <v>21</v>
      </c>
      <c r="I786" s="1" t="s">
        <v>22</v>
      </c>
      <c r="J786" s="1" t="s">
        <v>188</v>
      </c>
      <c r="L786" s="2">
        <v>1526.41</v>
      </c>
    </row>
    <row r="787" spans="1:12" x14ac:dyDescent="0.2">
      <c r="A787" s="6" t="str">
        <f>VLOOKUP(J787,[1]Clientes!$C:$H,6,0)</f>
        <v>LANXESS</v>
      </c>
      <c r="B787" s="7">
        <f t="shared" si="15"/>
        <v>45238</v>
      </c>
      <c r="C787" s="1" t="s">
        <v>844</v>
      </c>
      <c r="D787" s="1" t="s">
        <v>183</v>
      </c>
      <c r="E787" s="1" t="s">
        <v>184</v>
      </c>
      <c r="F787" s="4">
        <v>45238.703472222223</v>
      </c>
      <c r="G787" s="4">
        <v>45238.703472222223</v>
      </c>
      <c r="H787" s="1" t="s">
        <v>21</v>
      </c>
      <c r="I787" s="1" t="s">
        <v>22</v>
      </c>
      <c r="J787" s="1" t="s">
        <v>202</v>
      </c>
      <c r="L787" s="2">
        <v>777.17</v>
      </c>
    </row>
    <row r="788" spans="1:12" x14ac:dyDescent="0.2">
      <c r="A788" s="6" t="str">
        <f>VLOOKUP(J788,[1]Clientes!$C:$H,6,0)</f>
        <v>LANXESS</v>
      </c>
      <c r="B788" s="7">
        <f t="shared" si="15"/>
        <v>45238</v>
      </c>
      <c r="C788" s="1" t="s">
        <v>845</v>
      </c>
      <c r="D788" s="1" t="s">
        <v>183</v>
      </c>
      <c r="E788" s="1" t="s">
        <v>184</v>
      </c>
      <c r="F788" s="4">
        <v>45238.72152777778</v>
      </c>
      <c r="G788" s="4">
        <v>45238.72152777778</v>
      </c>
      <c r="H788" s="1" t="s">
        <v>21</v>
      </c>
      <c r="I788" s="1" t="s">
        <v>22</v>
      </c>
      <c r="J788" s="1" t="s">
        <v>202</v>
      </c>
      <c r="L788" s="2">
        <v>547.02</v>
      </c>
    </row>
    <row r="789" spans="1:12" x14ac:dyDescent="0.2">
      <c r="A789" s="6" t="str">
        <f>VLOOKUP(J789,[1]Clientes!$C:$H,6,0)</f>
        <v>AMBEV</v>
      </c>
      <c r="B789" s="7">
        <f t="shared" si="15"/>
        <v>45238</v>
      </c>
      <c r="C789" s="1" t="s">
        <v>846</v>
      </c>
      <c r="D789" s="1" t="s">
        <v>183</v>
      </c>
      <c r="E789" s="1" t="s">
        <v>184</v>
      </c>
      <c r="F789" s="4">
        <v>45238.724305555559</v>
      </c>
      <c r="G789" s="4">
        <v>45238.724305555559</v>
      </c>
      <c r="H789" s="1" t="s">
        <v>21</v>
      </c>
      <c r="I789" s="1" t="s">
        <v>22</v>
      </c>
      <c r="J789" s="1" t="s">
        <v>513</v>
      </c>
      <c r="L789" s="2">
        <v>16919.93</v>
      </c>
    </row>
    <row r="790" spans="1:12" x14ac:dyDescent="0.2">
      <c r="A790" s="6" t="str">
        <f>VLOOKUP(J790,[1]Clientes!$C:$H,6,0)</f>
        <v>AMBEV</v>
      </c>
      <c r="B790" s="7">
        <f t="shared" si="15"/>
        <v>45238</v>
      </c>
      <c r="C790" s="1" t="s">
        <v>847</v>
      </c>
      <c r="D790" s="1" t="s">
        <v>183</v>
      </c>
      <c r="E790" s="1" t="s">
        <v>184</v>
      </c>
      <c r="F790" s="4">
        <v>45238.795138888891</v>
      </c>
      <c r="G790" s="4">
        <v>45238.795138888891</v>
      </c>
      <c r="H790" s="1" t="s">
        <v>21</v>
      </c>
      <c r="I790" s="1" t="s">
        <v>22</v>
      </c>
      <c r="J790" s="1" t="s">
        <v>515</v>
      </c>
      <c r="L790" s="2">
        <v>16256.41</v>
      </c>
    </row>
    <row r="791" spans="1:12" x14ac:dyDescent="0.2">
      <c r="A791" s="6" t="str">
        <f>VLOOKUP(J791,[1]Clientes!$C:$H,6,0)</f>
        <v>UNIPAR</v>
      </c>
      <c r="B791" s="7">
        <f t="shared" si="15"/>
        <v>45238</v>
      </c>
      <c r="C791" s="1" t="s">
        <v>848</v>
      </c>
      <c r="D791" s="1" t="s">
        <v>183</v>
      </c>
      <c r="E791" s="1" t="s">
        <v>184</v>
      </c>
      <c r="F791" s="4">
        <v>45238.804166666669</v>
      </c>
      <c r="G791" s="4">
        <v>45238.804166666669</v>
      </c>
      <c r="H791" s="1" t="s">
        <v>21</v>
      </c>
      <c r="I791" s="1" t="s">
        <v>22</v>
      </c>
      <c r="J791" s="1" t="s">
        <v>63</v>
      </c>
      <c r="L791" s="2">
        <v>3425.27</v>
      </c>
    </row>
    <row r="792" spans="1:12" x14ac:dyDescent="0.2">
      <c r="A792" s="6" t="s">
        <v>1</v>
      </c>
      <c r="B792" s="7">
        <f t="shared" si="15"/>
        <v>45238</v>
      </c>
      <c r="C792" s="1" t="s">
        <v>849</v>
      </c>
      <c r="D792" s="1" t="s">
        <v>19</v>
      </c>
      <c r="E792" s="1" t="s">
        <v>20</v>
      </c>
      <c r="F792" s="4">
        <v>45238.819444444445</v>
      </c>
      <c r="G792" s="4">
        <v>45238.819444444445</v>
      </c>
      <c r="H792" s="1" t="s">
        <v>21</v>
      </c>
      <c r="I792" s="1" t="s">
        <v>22</v>
      </c>
      <c r="J792" s="1" t="s">
        <v>25</v>
      </c>
      <c r="L792" s="2">
        <v>2162.81</v>
      </c>
    </row>
    <row r="793" spans="1:12" x14ac:dyDescent="0.2">
      <c r="A793" s="6" t="str">
        <f>VLOOKUP(J793,[1]Clientes!$C:$H,6,0)</f>
        <v>UNIPAR</v>
      </c>
      <c r="B793" s="7">
        <f t="shared" si="15"/>
        <v>45238</v>
      </c>
      <c r="C793" s="1" t="s">
        <v>850</v>
      </c>
      <c r="D793" s="1" t="s">
        <v>183</v>
      </c>
      <c r="E793" s="1" t="s">
        <v>184</v>
      </c>
      <c r="F793" s="4">
        <v>45238.896527777775</v>
      </c>
      <c r="G793" s="4">
        <v>45238.896527777775</v>
      </c>
      <c r="H793" s="1" t="s">
        <v>21</v>
      </c>
      <c r="I793" s="1" t="s">
        <v>22</v>
      </c>
      <c r="J793" s="1" t="s">
        <v>63</v>
      </c>
      <c r="L793" s="2">
        <v>6559.09</v>
      </c>
    </row>
    <row r="794" spans="1:12" x14ac:dyDescent="0.2">
      <c r="A794" s="6" t="str">
        <f>VLOOKUP(J794,[1]Clientes!$C:$H,6,0)</f>
        <v>AMBEV</v>
      </c>
      <c r="B794" s="7">
        <f t="shared" si="15"/>
        <v>45239</v>
      </c>
      <c r="C794" s="1" t="s">
        <v>851</v>
      </c>
      <c r="D794" s="1" t="s">
        <v>183</v>
      </c>
      <c r="E794" s="1" t="s">
        <v>184</v>
      </c>
      <c r="F794" s="4">
        <v>45239.178472222222</v>
      </c>
      <c r="G794" s="4">
        <v>45239.178472222222</v>
      </c>
      <c r="H794" s="1" t="s">
        <v>21</v>
      </c>
      <c r="I794" s="1" t="s">
        <v>22</v>
      </c>
      <c r="J794" s="1" t="s">
        <v>340</v>
      </c>
      <c r="L794" s="2">
        <v>10948.19</v>
      </c>
    </row>
    <row r="795" spans="1:12" x14ac:dyDescent="0.2">
      <c r="A795" s="6" t="str">
        <f>VLOOKUP(J795,[1]Clientes!$C:$H,6,0)</f>
        <v>UNIPAR</v>
      </c>
      <c r="B795" s="7">
        <f t="shared" si="15"/>
        <v>45239</v>
      </c>
      <c r="C795" s="1" t="s">
        <v>852</v>
      </c>
      <c r="D795" s="1" t="s">
        <v>183</v>
      </c>
      <c r="E795" s="1" t="s">
        <v>184</v>
      </c>
      <c r="F795" s="4">
        <v>45239.303472222222</v>
      </c>
      <c r="G795" s="4">
        <v>45239.303472222222</v>
      </c>
      <c r="H795" s="1" t="s">
        <v>21</v>
      </c>
      <c r="I795" s="1" t="s">
        <v>22</v>
      </c>
      <c r="J795" s="1" t="s">
        <v>63</v>
      </c>
      <c r="L795" s="2">
        <v>8526.23</v>
      </c>
    </row>
    <row r="796" spans="1:12" x14ac:dyDescent="0.2">
      <c r="A796" s="6" t="str">
        <f>VLOOKUP(J796,[1]Clientes!$C:$H,6,0)</f>
        <v>UNIPAR</v>
      </c>
      <c r="B796" s="7">
        <f t="shared" si="15"/>
        <v>45239</v>
      </c>
      <c r="C796" s="1" t="s">
        <v>853</v>
      </c>
      <c r="D796" s="1" t="s">
        <v>19</v>
      </c>
      <c r="E796" s="1" t="s">
        <v>20</v>
      </c>
      <c r="F796" s="4">
        <v>45239.311111111114</v>
      </c>
      <c r="G796" s="4">
        <v>45239.311111111114</v>
      </c>
      <c r="H796" s="1" t="s">
        <v>21</v>
      </c>
      <c r="I796" s="1" t="s">
        <v>22</v>
      </c>
      <c r="J796" s="1" t="s">
        <v>63</v>
      </c>
      <c r="L796" s="2">
        <v>3425.27</v>
      </c>
    </row>
    <row r="797" spans="1:12" x14ac:dyDescent="0.2">
      <c r="A797" s="6" t="str">
        <f>VLOOKUP(J797,[1]Clientes!$C:$H,6,0)</f>
        <v>CBA</v>
      </c>
      <c r="B797" s="7">
        <f t="shared" si="15"/>
        <v>45239</v>
      </c>
      <c r="C797" s="1" t="s">
        <v>854</v>
      </c>
      <c r="D797" s="1" t="s">
        <v>183</v>
      </c>
      <c r="E797" s="1" t="s">
        <v>184</v>
      </c>
      <c r="F797" s="4">
        <v>45239.415972222225</v>
      </c>
      <c r="G797" s="4">
        <v>45239.415972222225</v>
      </c>
      <c r="H797" s="1" t="s">
        <v>21</v>
      </c>
      <c r="I797" s="1" t="s">
        <v>22</v>
      </c>
      <c r="J797" s="1" t="s">
        <v>69</v>
      </c>
      <c r="L797" s="2">
        <v>1854.2</v>
      </c>
    </row>
    <row r="798" spans="1:12" x14ac:dyDescent="0.2">
      <c r="A798" s="6" t="str">
        <f>VLOOKUP(J798,[1]Clientes!$C:$H,6,0)</f>
        <v>IMERYS</v>
      </c>
      <c r="B798" s="7">
        <f t="shared" si="15"/>
        <v>45239</v>
      </c>
      <c r="C798" s="1" t="s">
        <v>855</v>
      </c>
      <c r="D798" s="1" t="s">
        <v>183</v>
      </c>
      <c r="E798" s="1" t="s">
        <v>184</v>
      </c>
      <c r="F798" s="4">
        <v>45239.436805555553</v>
      </c>
      <c r="G798" s="4">
        <v>45239.436805555553</v>
      </c>
      <c r="H798" s="1" t="s">
        <v>21</v>
      </c>
      <c r="I798" s="1" t="s">
        <v>22</v>
      </c>
      <c r="J798" s="1" t="s">
        <v>188</v>
      </c>
      <c r="L798" s="2">
        <v>973.36</v>
      </c>
    </row>
    <row r="799" spans="1:12" x14ac:dyDescent="0.2">
      <c r="A799" s="6" t="str">
        <f>VLOOKUP(J799,[1]Clientes!$C:$H,6,0)</f>
        <v>LANXESS</v>
      </c>
      <c r="B799" s="7">
        <f t="shared" si="15"/>
        <v>45239</v>
      </c>
      <c r="C799" s="1" t="s">
        <v>856</v>
      </c>
      <c r="D799" s="1" t="s">
        <v>183</v>
      </c>
      <c r="E799" s="1" t="s">
        <v>184</v>
      </c>
      <c r="F799" s="4">
        <v>45239.454861111109</v>
      </c>
      <c r="G799" s="4">
        <v>45239.454861111109</v>
      </c>
      <c r="H799" s="1" t="s">
        <v>21</v>
      </c>
      <c r="I799" s="1" t="s">
        <v>22</v>
      </c>
      <c r="J799" s="1" t="s">
        <v>221</v>
      </c>
      <c r="L799" s="2">
        <v>883.22</v>
      </c>
    </row>
    <row r="800" spans="1:12" x14ac:dyDescent="0.2">
      <c r="A800" s="6" t="s">
        <v>1</v>
      </c>
      <c r="B800" s="7">
        <f t="shared" si="15"/>
        <v>45239</v>
      </c>
      <c r="C800" s="1" t="s">
        <v>857</v>
      </c>
      <c r="D800" s="1" t="s">
        <v>19</v>
      </c>
      <c r="E800" s="1" t="s">
        <v>20</v>
      </c>
      <c r="F800" s="4">
        <v>45239.46875</v>
      </c>
      <c r="G800" s="4">
        <v>45239.46875</v>
      </c>
      <c r="H800" s="1" t="s">
        <v>21</v>
      </c>
      <c r="I800" s="1" t="s">
        <v>22</v>
      </c>
      <c r="J800" s="1" t="s">
        <v>25</v>
      </c>
      <c r="L800" s="2">
        <v>2103.98</v>
      </c>
    </row>
    <row r="801" spans="1:12" x14ac:dyDescent="0.2">
      <c r="A801" s="6" t="str">
        <f>VLOOKUP(J801,[1]Clientes!$C:$H,6,0)</f>
        <v>LANXESS</v>
      </c>
      <c r="B801" s="7">
        <f t="shared" si="15"/>
        <v>45239</v>
      </c>
      <c r="C801" s="1" t="s">
        <v>858</v>
      </c>
      <c r="D801" s="1" t="s">
        <v>183</v>
      </c>
      <c r="E801" s="1" t="s">
        <v>184</v>
      </c>
      <c r="F801" s="4">
        <v>45239.477777777778</v>
      </c>
      <c r="G801" s="4">
        <v>45239.477777777778</v>
      </c>
      <c r="H801" s="1" t="s">
        <v>21</v>
      </c>
      <c r="I801" s="1" t="s">
        <v>22</v>
      </c>
      <c r="J801" s="1" t="s">
        <v>221</v>
      </c>
      <c r="L801" s="2">
        <v>1334.86</v>
      </c>
    </row>
    <row r="802" spans="1:12" x14ac:dyDescent="0.2">
      <c r="A802" s="6" t="str">
        <f>VLOOKUP(J802,[1]Clientes!$C:$H,6,0)</f>
        <v>CBA</v>
      </c>
      <c r="B802" s="7">
        <f t="shared" si="15"/>
        <v>45239</v>
      </c>
      <c r="C802" s="1" t="s">
        <v>859</v>
      </c>
      <c r="D802" s="1" t="s">
        <v>183</v>
      </c>
      <c r="E802" s="1" t="s">
        <v>184</v>
      </c>
      <c r="F802" s="4">
        <v>45239.638888888891</v>
      </c>
      <c r="G802" s="4">
        <v>45239.638888888891</v>
      </c>
      <c r="H802" s="1" t="s">
        <v>21</v>
      </c>
      <c r="I802" s="1" t="s">
        <v>22</v>
      </c>
      <c r="J802" s="1" t="s">
        <v>69</v>
      </c>
      <c r="L802" s="2">
        <v>2700.45</v>
      </c>
    </row>
    <row r="803" spans="1:12" x14ac:dyDescent="0.2">
      <c r="A803" s="6" t="str">
        <f>VLOOKUP(J803,[1]Clientes!$C:$H,6,0)</f>
        <v>LANXESS</v>
      </c>
      <c r="B803" s="7">
        <f t="shared" si="15"/>
        <v>45239</v>
      </c>
      <c r="C803" s="1" t="s">
        <v>860</v>
      </c>
      <c r="D803" s="1" t="s">
        <v>183</v>
      </c>
      <c r="E803" s="1" t="s">
        <v>184</v>
      </c>
      <c r="F803" s="4">
        <v>45239.642361111109</v>
      </c>
      <c r="G803" s="4">
        <v>45239.642361111109</v>
      </c>
      <c r="H803" s="1" t="s">
        <v>21</v>
      </c>
      <c r="I803" s="1" t="s">
        <v>22</v>
      </c>
      <c r="J803" s="1" t="s">
        <v>200</v>
      </c>
      <c r="L803" s="2">
        <v>937.73</v>
      </c>
    </row>
    <row r="804" spans="1:12" x14ac:dyDescent="0.2">
      <c r="A804" s="6" t="str">
        <f>VLOOKUP(J804,[1]Clientes!$C:$H,6,0)</f>
        <v>IMERYS</v>
      </c>
      <c r="B804" s="7">
        <f t="shared" si="15"/>
        <v>45239</v>
      </c>
      <c r="C804" s="1" t="s">
        <v>861</v>
      </c>
      <c r="D804" s="1" t="s">
        <v>183</v>
      </c>
      <c r="E804" s="1" t="s">
        <v>184</v>
      </c>
      <c r="F804" s="4">
        <v>45239.663194444445</v>
      </c>
      <c r="G804" s="4">
        <v>45239.663194444445</v>
      </c>
      <c r="H804" s="1" t="s">
        <v>21</v>
      </c>
      <c r="I804" s="1" t="s">
        <v>22</v>
      </c>
      <c r="J804" s="1" t="s">
        <v>188</v>
      </c>
      <c r="L804" s="2">
        <v>1295.52</v>
      </c>
    </row>
    <row r="805" spans="1:12" x14ac:dyDescent="0.2">
      <c r="A805" s="6" t="str">
        <f>VLOOKUP(J805,[1]Clientes!$C:$H,6,0)</f>
        <v>IMERYS</v>
      </c>
      <c r="B805" s="7">
        <f t="shared" si="15"/>
        <v>45239</v>
      </c>
      <c r="C805" s="1" t="s">
        <v>862</v>
      </c>
      <c r="D805" s="1" t="s">
        <v>183</v>
      </c>
      <c r="E805" s="1" t="s">
        <v>184</v>
      </c>
      <c r="F805" s="4">
        <v>45239.70416666667</v>
      </c>
      <c r="G805" s="4">
        <v>45239.70416666667</v>
      </c>
      <c r="H805" s="1" t="s">
        <v>21</v>
      </c>
      <c r="I805" s="1" t="s">
        <v>22</v>
      </c>
      <c r="J805" s="1" t="s">
        <v>188</v>
      </c>
      <c r="L805" s="2">
        <v>756.29</v>
      </c>
    </row>
    <row r="806" spans="1:12" x14ac:dyDescent="0.2">
      <c r="A806" s="6" t="str">
        <f>VLOOKUP(J806,[1]Clientes!$C:$H,6,0)</f>
        <v>IMERYS</v>
      </c>
      <c r="B806" s="7">
        <f t="shared" si="15"/>
        <v>45239</v>
      </c>
      <c r="C806" s="1" t="s">
        <v>863</v>
      </c>
      <c r="D806" s="1" t="s">
        <v>183</v>
      </c>
      <c r="E806" s="1" t="s">
        <v>184</v>
      </c>
      <c r="F806" s="4">
        <v>45239.706944444442</v>
      </c>
      <c r="G806" s="4">
        <v>45239.706944444442</v>
      </c>
      <c r="H806" s="1" t="s">
        <v>21</v>
      </c>
      <c r="I806" s="1" t="s">
        <v>22</v>
      </c>
      <c r="J806" s="1" t="s">
        <v>188</v>
      </c>
      <c r="L806" s="2">
        <v>702.53</v>
      </c>
    </row>
    <row r="807" spans="1:12" x14ac:dyDescent="0.2">
      <c r="A807" s="6" t="str">
        <f>VLOOKUP(J807,[1]Clientes!$C:$H,6,0)</f>
        <v>CBA</v>
      </c>
      <c r="B807" s="7">
        <f t="shared" si="15"/>
        <v>45239</v>
      </c>
      <c r="C807" s="1" t="s">
        <v>864</v>
      </c>
      <c r="D807" s="1" t="s">
        <v>183</v>
      </c>
      <c r="E807" s="1" t="s">
        <v>184</v>
      </c>
      <c r="F807" s="4">
        <v>45239.718055555553</v>
      </c>
      <c r="G807" s="4">
        <v>45239.718055555553</v>
      </c>
      <c r="H807" s="1" t="s">
        <v>21</v>
      </c>
      <c r="I807" s="1" t="s">
        <v>22</v>
      </c>
      <c r="J807" s="1" t="s">
        <v>69</v>
      </c>
      <c r="L807" s="2">
        <v>3432.23</v>
      </c>
    </row>
    <row r="808" spans="1:12" x14ac:dyDescent="0.2">
      <c r="A808" s="6" t="s">
        <v>1</v>
      </c>
      <c r="B808" s="7">
        <f t="shared" si="15"/>
        <v>45239</v>
      </c>
      <c r="C808" s="1" t="s">
        <v>865</v>
      </c>
      <c r="D808" s="1" t="s">
        <v>19</v>
      </c>
      <c r="E808" s="1" t="s">
        <v>20</v>
      </c>
      <c r="F808" s="4">
        <v>45239.71875</v>
      </c>
      <c r="G808" s="4">
        <v>45239.71875</v>
      </c>
      <c r="H808" s="1" t="s">
        <v>21</v>
      </c>
      <c r="I808" s="1" t="s">
        <v>22</v>
      </c>
      <c r="J808" s="1" t="s">
        <v>25</v>
      </c>
      <c r="L808" s="2">
        <v>1569.05</v>
      </c>
    </row>
    <row r="809" spans="1:12" x14ac:dyDescent="0.2">
      <c r="A809" s="6" t="str">
        <f>VLOOKUP(J809,[1]Clientes!$C:$H,6,0)</f>
        <v>UNIPAR</v>
      </c>
      <c r="B809" s="7">
        <f t="shared" si="15"/>
        <v>45239</v>
      </c>
      <c r="C809" s="1" t="s">
        <v>866</v>
      </c>
      <c r="D809" s="1" t="s">
        <v>183</v>
      </c>
      <c r="E809" s="1" t="s">
        <v>184</v>
      </c>
      <c r="F809" s="4">
        <v>45239.765972222223</v>
      </c>
      <c r="G809" s="4">
        <v>45239.765972222223</v>
      </c>
      <c r="H809" s="1" t="s">
        <v>21</v>
      </c>
      <c r="I809" s="1" t="s">
        <v>22</v>
      </c>
      <c r="J809" s="1" t="s">
        <v>63</v>
      </c>
      <c r="L809" s="2">
        <v>3425.27</v>
      </c>
    </row>
    <row r="810" spans="1:12" x14ac:dyDescent="0.2">
      <c r="A810" s="6" t="str">
        <f>VLOOKUP(J810,[1]Clientes!$C:$H,6,0)</f>
        <v>CBA</v>
      </c>
      <c r="B810" s="7">
        <f t="shared" si="15"/>
        <v>45239</v>
      </c>
      <c r="C810" s="1" t="s">
        <v>867</v>
      </c>
      <c r="D810" s="1" t="s">
        <v>183</v>
      </c>
      <c r="E810" s="1" t="s">
        <v>184</v>
      </c>
      <c r="F810" s="4">
        <v>45239.785416666666</v>
      </c>
      <c r="G810" s="4">
        <v>45239.785416666666</v>
      </c>
      <c r="H810" s="1" t="s">
        <v>21</v>
      </c>
      <c r="I810" s="1" t="s">
        <v>22</v>
      </c>
      <c r="J810" s="1" t="s">
        <v>69</v>
      </c>
      <c r="L810" s="2">
        <v>2761.89</v>
      </c>
    </row>
    <row r="811" spans="1:12" x14ac:dyDescent="0.2">
      <c r="A811" s="6" t="str">
        <f>VLOOKUP(J811,[1]Clientes!$C:$H,6,0)</f>
        <v>CBA</v>
      </c>
      <c r="B811" s="7">
        <f t="shared" si="15"/>
        <v>45239</v>
      </c>
      <c r="C811" s="1" t="s">
        <v>868</v>
      </c>
      <c r="D811" s="1" t="s">
        <v>183</v>
      </c>
      <c r="E811" s="1" t="s">
        <v>184</v>
      </c>
      <c r="F811" s="4">
        <v>45239.795138888891</v>
      </c>
      <c r="G811" s="4">
        <v>45239.795138888891</v>
      </c>
      <c r="H811" s="1" t="s">
        <v>21</v>
      </c>
      <c r="I811" s="1" t="s">
        <v>22</v>
      </c>
      <c r="J811" s="1" t="s">
        <v>69</v>
      </c>
      <c r="L811" s="2">
        <v>1883.1</v>
      </c>
    </row>
    <row r="812" spans="1:12" x14ac:dyDescent="0.2">
      <c r="A812" s="6" t="str">
        <f>VLOOKUP(J812,[1]Clientes!$C:$H,6,0)</f>
        <v>AMBEV</v>
      </c>
      <c r="B812" s="7">
        <f t="shared" si="15"/>
        <v>45239</v>
      </c>
      <c r="C812" s="1" t="s">
        <v>869</v>
      </c>
      <c r="D812" s="1" t="s">
        <v>19</v>
      </c>
      <c r="E812" s="1" t="s">
        <v>20</v>
      </c>
      <c r="F812" s="4">
        <v>45239.832638888889</v>
      </c>
      <c r="G812" s="4">
        <v>45239.832638888889</v>
      </c>
      <c r="H812" s="1" t="s">
        <v>21</v>
      </c>
      <c r="I812" s="1" t="s">
        <v>22</v>
      </c>
      <c r="J812" s="1" t="s">
        <v>727</v>
      </c>
      <c r="L812" s="2">
        <v>20569.330000000002</v>
      </c>
    </row>
    <row r="813" spans="1:12" x14ac:dyDescent="0.2">
      <c r="A813" s="6" t="str">
        <f>VLOOKUP(J813,[1]Clientes!$C:$H,6,0)</f>
        <v>CBA</v>
      </c>
      <c r="B813" s="7">
        <f t="shared" si="15"/>
        <v>45239</v>
      </c>
      <c r="C813" s="1" t="s">
        <v>870</v>
      </c>
      <c r="D813" s="1" t="s">
        <v>183</v>
      </c>
      <c r="E813" s="1" t="s">
        <v>184</v>
      </c>
      <c r="F813" s="4">
        <v>45239.89166666667</v>
      </c>
      <c r="G813" s="4">
        <v>45239.89166666667</v>
      </c>
      <c r="H813" s="1" t="s">
        <v>21</v>
      </c>
      <c r="I813" s="1" t="s">
        <v>22</v>
      </c>
      <c r="J813" s="1" t="s">
        <v>69</v>
      </c>
      <c r="L813" s="2">
        <v>5748.47</v>
      </c>
    </row>
    <row r="814" spans="1:12" x14ac:dyDescent="0.2">
      <c r="A814" s="6" t="str">
        <f>VLOOKUP(J814,[1]Clientes!$C:$H,6,0)</f>
        <v>CBA</v>
      </c>
      <c r="B814" s="7">
        <f t="shared" si="15"/>
        <v>45239</v>
      </c>
      <c r="C814" s="1" t="s">
        <v>871</v>
      </c>
      <c r="D814" s="1" t="s">
        <v>183</v>
      </c>
      <c r="E814" s="1" t="s">
        <v>184</v>
      </c>
      <c r="F814" s="4">
        <v>45239.935416666667</v>
      </c>
      <c r="G814" s="4">
        <v>45239.935416666667</v>
      </c>
      <c r="H814" s="1" t="s">
        <v>21</v>
      </c>
      <c r="I814" s="1" t="s">
        <v>22</v>
      </c>
      <c r="J814" s="1" t="s">
        <v>381</v>
      </c>
      <c r="L814" s="2">
        <v>5807.03</v>
      </c>
    </row>
    <row r="815" spans="1:12" x14ac:dyDescent="0.2">
      <c r="A815" s="6" t="str">
        <f>VLOOKUP(J815,[1]Clientes!$C:$H,6,0)</f>
        <v>CBA</v>
      </c>
      <c r="B815" s="7">
        <f t="shared" si="15"/>
        <v>45239</v>
      </c>
      <c r="C815" s="1" t="s">
        <v>872</v>
      </c>
      <c r="D815" s="1" t="s">
        <v>183</v>
      </c>
      <c r="E815" s="1" t="s">
        <v>184</v>
      </c>
      <c r="F815" s="4">
        <v>45239.936805555553</v>
      </c>
      <c r="G815" s="4">
        <v>45239.936805555553</v>
      </c>
      <c r="H815" s="1" t="s">
        <v>21</v>
      </c>
      <c r="I815" s="1" t="s">
        <v>22</v>
      </c>
      <c r="J815" s="1" t="s">
        <v>69</v>
      </c>
      <c r="L815" s="2">
        <v>2701.89</v>
      </c>
    </row>
    <row r="816" spans="1:12" x14ac:dyDescent="0.2">
      <c r="A816" s="6" t="str">
        <f>VLOOKUP(J816,[1]Clientes!$C:$H,6,0)</f>
        <v>CBA</v>
      </c>
      <c r="B816" s="7">
        <f t="shared" si="15"/>
        <v>45239</v>
      </c>
      <c r="C816" s="1" t="s">
        <v>873</v>
      </c>
      <c r="D816" s="1" t="s">
        <v>183</v>
      </c>
      <c r="E816" s="1" t="s">
        <v>184</v>
      </c>
      <c r="F816" s="4">
        <v>45239.947916666664</v>
      </c>
      <c r="G816" s="4">
        <v>45239.947916666664</v>
      </c>
      <c r="H816" s="1" t="s">
        <v>21</v>
      </c>
      <c r="I816" s="1" t="s">
        <v>22</v>
      </c>
      <c r="J816" s="1" t="s">
        <v>69</v>
      </c>
      <c r="L816" s="2">
        <v>2714.75</v>
      </c>
    </row>
    <row r="817" spans="1:12" x14ac:dyDescent="0.2">
      <c r="A817" s="6" t="str">
        <f>VLOOKUP(J817,[1]Clientes!$C:$H,6,0)</f>
        <v>AMBEV</v>
      </c>
      <c r="B817" s="7">
        <f t="shared" si="15"/>
        <v>45240</v>
      </c>
      <c r="C817" s="1" t="s">
        <v>874</v>
      </c>
      <c r="D817" s="1" t="s">
        <v>183</v>
      </c>
      <c r="E817" s="1" t="s">
        <v>184</v>
      </c>
      <c r="F817" s="4">
        <v>45240.092361111114</v>
      </c>
      <c r="G817" s="4">
        <v>45240.092361111114</v>
      </c>
      <c r="H817" s="1" t="s">
        <v>21</v>
      </c>
      <c r="I817" s="1" t="s">
        <v>22</v>
      </c>
      <c r="J817" s="1" t="s">
        <v>340</v>
      </c>
      <c r="L817" s="2">
        <v>9952.9</v>
      </c>
    </row>
    <row r="818" spans="1:12" x14ac:dyDescent="0.2">
      <c r="A818" s="6" t="str">
        <f>VLOOKUP(J818,[1]Clientes!$C:$H,6,0)</f>
        <v>OUTROS</v>
      </c>
      <c r="B818" s="7">
        <f t="shared" si="15"/>
        <v>45240</v>
      </c>
      <c r="C818" s="1" t="s">
        <v>875</v>
      </c>
      <c r="D818" s="1" t="s">
        <v>183</v>
      </c>
      <c r="E818" s="1" t="s">
        <v>184</v>
      </c>
      <c r="F818" s="4">
        <v>45240.368055555555</v>
      </c>
      <c r="G818" s="4">
        <v>45240.368055555555</v>
      </c>
      <c r="H818" s="1" t="s">
        <v>21</v>
      </c>
      <c r="I818" s="1" t="s">
        <v>22</v>
      </c>
      <c r="J818" s="1" t="s">
        <v>234</v>
      </c>
      <c r="L818" s="2">
        <v>980</v>
      </c>
    </row>
    <row r="819" spans="1:12" x14ac:dyDescent="0.2">
      <c r="A819" s="6" t="s">
        <v>1</v>
      </c>
      <c r="B819" s="7">
        <f t="shared" si="15"/>
        <v>45240</v>
      </c>
      <c r="C819" s="1" t="s">
        <v>876</v>
      </c>
      <c r="D819" s="1" t="s">
        <v>19</v>
      </c>
      <c r="E819" s="1" t="s">
        <v>20</v>
      </c>
      <c r="F819" s="4">
        <v>45240.413194444445</v>
      </c>
      <c r="G819" s="4">
        <v>45240.413194444445</v>
      </c>
      <c r="H819" s="1" t="s">
        <v>21</v>
      </c>
      <c r="I819" s="1" t="s">
        <v>22</v>
      </c>
      <c r="J819" s="1" t="s">
        <v>25</v>
      </c>
      <c r="L819" s="2">
        <v>1495.57</v>
      </c>
    </row>
    <row r="820" spans="1:12" x14ac:dyDescent="0.2">
      <c r="A820" s="6" t="str">
        <f>VLOOKUP(J820,[1]Clientes!$C:$H,6,0)</f>
        <v>LANXESS</v>
      </c>
      <c r="B820" s="7">
        <f t="shared" si="15"/>
        <v>45240</v>
      </c>
      <c r="C820" s="1" t="s">
        <v>877</v>
      </c>
      <c r="D820" s="1" t="s">
        <v>183</v>
      </c>
      <c r="E820" s="1" t="s">
        <v>184</v>
      </c>
      <c r="F820" s="4">
        <v>45240.43472222222</v>
      </c>
      <c r="G820" s="4">
        <v>45240.43472222222</v>
      </c>
      <c r="H820" s="1" t="s">
        <v>21</v>
      </c>
      <c r="I820" s="1" t="s">
        <v>22</v>
      </c>
      <c r="J820" s="1" t="s">
        <v>200</v>
      </c>
      <c r="L820" s="2">
        <v>1854.92</v>
      </c>
    </row>
    <row r="821" spans="1:12" x14ac:dyDescent="0.2">
      <c r="A821" s="6" t="s">
        <v>1</v>
      </c>
      <c r="B821" s="7">
        <f t="shared" ref="B821:B840" si="16">QUOTIENT(F821,1)</f>
        <v>45240</v>
      </c>
      <c r="C821" s="1" t="s">
        <v>878</v>
      </c>
      <c r="D821" s="1" t="s">
        <v>19</v>
      </c>
      <c r="E821" s="1" t="s">
        <v>20</v>
      </c>
      <c r="F821" s="4">
        <v>45240.447222222225</v>
      </c>
      <c r="G821" s="4">
        <v>45240.447222222225</v>
      </c>
      <c r="H821" s="1" t="s">
        <v>21</v>
      </c>
      <c r="I821" s="1" t="s">
        <v>22</v>
      </c>
      <c r="J821" s="1" t="s">
        <v>25</v>
      </c>
      <c r="L821" s="2">
        <v>1580.55</v>
      </c>
    </row>
    <row r="822" spans="1:12" x14ac:dyDescent="0.2">
      <c r="A822" s="6" t="s">
        <v>1</v>
      </c>
      <c r="B822" s="7">
        <f t="shared" si="16"/>
        <v>45240</v>
      </c>
      <c r="C822" s="1" t="s">
        <v>879</v>
      </c>
      <c r="D822" s="1" t="s">
        <v>19</v>
      </c>
      <c r="E822" s="1" t="s">
        <v>20</v>
      </c>
      <c r="F822" s="4">
        <v>45240.459722222222</v>
      </c>
      <c r="G822" s="4">
        <v>45240.459722222222</v>
      </c>
      <c r="H822" s="1" t="s">
        <v>21</v>
      </c>
      <c r="I822" s="1" t="s">
        <v>22</v>
      </c>
      <c r="J822" s="1" t="s">
        <v>25</v>
      </c>
      <c r="L822" s="2">
        <v>1580.55</v>
      </c>
    </row>
    <row r="823" spans="1:12" x14ac:dyDescent="0.2">
      <c r="A823" s="6" t="str">
        <f>VLOOKUP(J823,[1]Clientes!$C:$H,6,0)</f>
        <v>CBA</v>
      </c>
      <c r="B823" s="7">
        <f t="shared" si="16"/>
        <v>45240</v>
      </c>
      <c r="C823" s="1" t="s">
        <v>880</v>
      </c>
      <c r="D823" s="1" t="s">
        <v>183</v>
      </c>
      <c r="E823" s="1" t="s">
        <v>184</v>
      </c>
      <c r="F823" s="4">
        <v>45240.465277777781</v>
      </c>
      <c r="G823" s="4">
        <v>45240.465277777781</v>
      </c>
      <c r="H823" s="1" t="s">
        <v>21</v>
      </c>
      <c r="I823" s="1" t="s">
        <v>22</v>
      </c>
      <c r="J823" s="1" t="s">
        <v>381</v>
      </c>
      <c r="L823" s="2">
        <v>5800.84</v>
      </c>
    </row>
    <row r="824" spans="1:12" x14ac:dyDescent="0.2">
      <c r="A824" s="6" t="str">
        <f>VLOOKUP(J824,[1]Clientes!$C:$H,6,0)</f>
        <v>CBA</v>
      </c>
      <c r="B824" s="7">
        <f t="shared" si="16"/>
        <v>45240</v>
      </c>
      <c r="C824" s="1" t="s">
        <v>881</v>
      </c>
      <c r="D824" s="1" t="s">
        <v>183</v>
      </c>
      <c r="E824" s="1" t="s">
        <v>184</v>
      </c>
      <c r="F824" s="4">
        <v>45240.554861111108</v>
      </c>
      <c r="G824" s="4">
        <v>45240.554861111108</v>
      </c>
      <c r="H824" s="1" t="s">
        <v>21</v>
      </c>
      <c r="I824" s="1" t="s">
        <v>22</v>
      </c>
      <c r="J824" s="1" t="s">
        <v>381</v>
      </c>
      <c r="L824" s="2">
        <v>5798.77</v>
      </c>
    </row>
    <row r="825" spans="1:12" x14ac:dyDescent="0.2">
      <c r="A825" s="6" t="str">
        <f>VLOOKUP(J825,[1]Clientes!$C:$H,6,0)</f>
        <v>CBA</v>
      </c>
      <c r="B825" s="7">
        <f t="shared" si="16"/>
        <v>45240</v>
      </c>
      <c r="C825" s="1" t="s">
        <v>882</v>
      </c>
      <c r="D825" s="1" t="s">
        <v>183</v>
      </c>
      <c r="E825" s="1" t="s">
        <v>184</v>
      </c>
      <c r="F825" s="4">
        <v>45240.572222222225</v>
      </c>
      <c r="G825" s="4">
        <v>45240.572222222225</v>
      </c>
      <c r="H825" s="1" t="s">
        <v>21</v>
      </c>
      <c r="I825" s="1" t="s">
        <v>22</v>
      </c>
      <c r="J825" s="1" t="s">
        <v>69</v>
      </c>
      <c r="L825" s="2">
        <v>2697.9</v>
      </c>
    </row>
    <row r="826" spans="1:12" x14ac:dyDescent="0.2">
      <c r="A826" s="6" t="str">
        <f>VLOOKUP(J826,[1]Clientes!$C:$H,6,0)</f>
        <v>CBA</v>
      </c>
      <c r="B826" s="7">
        <f t="shared" si="16"/>
        <v>45240</v>
      </c>
      <c r="C826" s="1" t="s">
        <v>883</v>
      </c>
      <c r="D826" s="1" t="s">
        <v>183</v>
      </c>
      <c r="E826" s="1" t="s">
        <v>184</v>
      </c>
      <c r="F826" s="4">
        <v>45240.581944444442</v>
      </c>
      <c r="G826" s="4">
        <v>45240.581944444442</v>
      </c>
      <c r="H826" s="1" t="s">
        <v>21</v>
      </c>
      <c r="I826" s="1" t="s">
        <v>22</v>
      </c>
      <c r="J826" s="1" t="s">
        <v>69</v>
      </c>
      <c r="L826" s="2">
        <v>2769.74</v>
      </c>
    </row>
    <row r="827" spans="1:12" x14ac:dyDescent="0.2">
      <c r="A827" s="6" t="str">
        <f>VLOOKUP(J827,[1]Clientes!$C:$H,6,0)</f>
        <v>CBA</v>
      </c>
      <c r="B827" s="7">
        <f t="shared" si="16"/>
        <v>45240</v>
      </c>
      <c r="C827" s="1" t="s">
        <v>884</v>
      </c>
      <c r="D827" s="1" t="s">
        <v>183</v>
      </c>
      <c r="E827" s="1" t="s">
        <v>184</v>
      </c>
      <c r="F827" s="4">
        <v>45240.629166666666</v>
      </c>
      <c r="G827" s="4">
        <v>45240.629166666666</v>
      </c>
      <c r="H827" s="1" t="s">
        <v>21</v>
      </c>
      <c r="I827" s="1" t="s">
        <v>22</v>
      </c>
      <c r="J827" s="1" t="s">
        <v>69</v>
      </c>
      <c r="L827" s="2">
        <v>2700.82</v>
      </c>
    </row>
    <row r="828" spans="1:12" x14ac:dyDescent="0.2">
      <c r="A828" s="6" t="str">
        <f>VLOOKUP(J828,[1]Clientes!$C:$H,6,0)</f>
        <v>OUTROS</v>
      </c>
      <c r="B828" s="7">
        <f t="shared" si="16"/>
        <v>45240</v>
      </c>
      <c r="C828" s="1" t="s">
        <v>885</v>
      </c>
      <c r="D828" s="1" t="s">
        <v>19</v>
      </c>
      <c r="E828" s="1" t="s">
        <v>20</v>
      </c>
      <c r="F828" s="4">
        <v>45240.661111111112</v>
      </c>
      <c r="G828" s="4">
        <v>45240.661111111112</v>
      </c>
      <c r="H828" s="1" t="s">
        <v>21</v>
      </c>
      <c r="I828" s="1" t="s">
        <v>22</v>
      </c>
      <c r="J828" s="1" t="s">
        <v>886</v>
      </c>
      <c r="L828" s="2">
        <v>7886.24</v>
      </c>
    </row>
    <row r="829" spans="1:12" x14ac:dyDescent="0.2">
      <c r="A829" s="6" t="str">
        <f>VLOOKUP(J829,[1]Clientes!$C:$H,6,0)</f>
        <v>OUTROS</v>
      </c>
      <c r="B829" s="7">
        <f t="shared" si="16"/>
        <v>45240</v>
      </c>
      <c r="C829" s="1" t="s">
        <v>887</v>
      </c>
      <c r="D829" s="1" t="s">
        <v>19</v>
      </c>
      <c r="E829" s="1" t="s">
        <v>20</v>
      </c>
      <c r="F829" s="4">
        <v>45240.662499999999</v>
      </c>
      <c r="G829" s="4">
        <v>45240.662499999999</v>
      </c>
      <c r="H829" s="1" t="s">
        <v>21</v>
      </c>
      <c r="I829" s="1" t="s">
        <v>22</v>
      </c>
      <c r="J829" s="1" t="s">
        <v>886</v>
      </c>
      <c r="L829" s="2">
        <v>6135.54</v>
      </c>
    </row>
    <row r="830" spans="1:12" x14ac:dyDescent="0.2">
      <c r="A830" s="6" t="s">
        <v>1</v>
      </c>
      <c r="B830" s="7">
        <f t="shared" si="16"/>
        <v>45240</v>
      </c>
      <c r="C830" s="1" t="s">
        <v>888</v>
      </c>
      <c r="D830" s="1" t="s">
        <v>19</v>
      </c>
      <c r="E830" s="1" t="s">
        <v>20</v>
      </c>
      <c r="F830" s="4">
        <v>45240.701388888891</v>
      </c>
      <c r="G830" s="4">
        <v>45240.701388888891</v>
      </c>
      <c r="H830" s="1" t="s">
        <v>21</v>
      </c>
      <c r="I830" s="1" t="s">
        <v>22</v>
      </c>
      <c r="J830" s="1" t="s">
        <v>25</v>
      </c>
      <c r="L830" s="2">
        <v>1952.93</v>
      </c>
    </row>
    <row r="831" spans="1:12" x14ac:dyDescent="0.2">
      <c r="A831" s="6" t="str">
        <f>VLOOKUP(J831,[1]Clientes!$C:$H,6,0)</f>
        <v>CBA</v>
      </c>
      <c r="B831" s="7">
        <f t="shared" si="16"/>
        <v>45240</v>
      </c>
      <c r="C831" s="1" t="s">
        <v>889</v>
      </c>
      <c r="D831" s="1" t="s">
        <v>183</v>
      </c>
      <c r="E831" s="1" t="s">
        <v>184</v>
      </c>
      <c r="F831" s="4">
        <v>45240.727083333331</v>
      </c>
      <c r="G831" s="4">
        <v>45240.727083333331</v>
      </c>
      <c r="H831" s="1" t="s">
        <v>21</v>
      </c>
      <c r="I831" s="1" t="s">
        <v>22</v>
      </c>
      <c r="J831" s="1" t="s">
        <v>381</v>
      </c>
      <c r="L831" s="2">
        <v>4355.13</v>
      </c>
    </row>
    <row r="832" spans="1:12" x14ac:dyDescent="0.2">
      <c r="A832" s="6" t="str">
        <f>VLOOKUP(J832,[1]Clientes!$C:$H,6,0)</f>
        <v>CBA</v>
      </c>
      <c r="B832" s="7">
        <f t="shared" si="16"/>
        <v>45240</v>
      </c>
      <c r="C832" s="1" t="s">
        <v>890</v>
      </c>
      <c r="D832" s="1" t="s">
        <v>183</v>
      </c>
      <c r="E832" s="1" t="s">
        <v>184</v>
      </c>
      <c r="F832" s="4">
        <v>45240.790277777778</v>
      </c>
      <c r="G832" s="4">
        <v>45240.790277777778</v>
      </c>
      <c r="H832" s="1" t="s">
        <v>21</v>
      </c>
      <c r="I832" s="1" t="s">
        <v>22</v>
      </c>
      <c r="J832" s="1" t="s">
        <v>69</v>
      </c>
      <c r="L832" s="2">
        <v>3237.19</v>
      </c>
    </row>
    <row r="833" spans="1:12" x14ac:dyDescent="0.2">
      <c r="A833" s="6" t="str">
        <f>VLOOKUP(J833,[1]Clientes!$C:$H,6,0)</f>
        <v>CBA</v>
      </c>
      <c r="B833" s="7">
        <f t="shared" si="16"/>
        <v>45240</v>
      </c>
      <c r="C833" s="1" t="s">
        <v>891</v>
      </c>
      <c r="D833" s="1" t="s">
        <v>183</v>
      </c>
      <c r="E833" s="1" t="s">
        <v>184</v>
      </c>
      <c r="F833" s="4">
        <v>45240.800694444442</v>
      </c>
      <c r="G833" s="4">
        <v>45240.800694444442</v>
      </c>
      <c r="H833" s="1" t="s">
        <v>21</v>
      </c>
      <c r="I833" s="1" t="s">
        <v>22</v>
      </c>
      <c r="J833" s="1" t="s">
        <v>69</v>
      </c>
      <c r="L833" s="2">
        <v>3452.5</v>
      </c>
    </row>
    <row r="834" spans="1:12" x14ac:dyDescent="0.2">
      <c r="A834" s="6" t="str">
        <f>VLOOKUP(J834,[1]Clientes!$C:$H,6,0)</f>
        <v>CBA</v>
      </c>
      <c r="B834" s="7">
        <f t="shared" si="16"/>
        <v>45240</v>
      </c>
      <c r="C834" s="1" t="s">
        <v>892</v>
      </c>
      <c r="D834" s="1" t="s">
        <v>183</v>
      </c>
      <c r="E834" s="1" t="s">
        <v>184</v>
      </c>
      <c r="F834" s="4">
        <v>45240.873611111114</v>
      </c>
      <c r="G834" s="4">
        <v>45240.873611111114</v>
      </c>
      <c r="H834" s="1" t="s">
        <v>21</v>
      </c>
      <c r="I834" s="1" t="s">
        <v>22</v>
      </c>
      <c r="J834" s="1" t="s">
        <v>69</v>
      </c>
      <c r="L834" s="2">
        <v>2763.15</v>
      </c>
    </row>
    <row r="835" spans="1:12" x14ac:dyDescent="0.2">
      <c r="A835" s="6" t="str">
        <f>VLOOKUP(J835,[1]Clientes!$C:$H,6,0)</f>
        <v>CBA</v>
      </c>
      <c r="B835" s="7">
        <f t="shared" si="16"/>
        <v>45240</v>
      </c>
      <c r="C835" s="1" t="s">
        <v>893</v>
      </c>
      <c r="D835" s="1" t="s">
        <v>183</v>
      </c>
      <c r="E835" s="1" t="s">
        <v>184</v>
      </c>
      <c r="F835" s="4">
        <v>45240.87777777778</v>
      </c>
      <c r="G835" s="4">
        <v>45240.87777777778</v>
      </c>
      <c r="H835" s="1" t="s">
        <v>21</v>
      </c>
      <c r="I835" s="1" t="s">
        <v>22</v>
      </c>
      <c r="J835" s="1" t="s">
        <v>69</v>
      </c>
      <c r="L835" s="2">
        <v>3274.77</v>
      </c>
    </row>
    <row r="836" spans="1:12" x14ac:dyDescent="0.2">
      <c r="A836" s="6" t="str">
        <f>VLOOKUP(J836,[1]Clientes!$C:$H,6,0)</f>
        <v>UNIPAR</v>
      </c>
      <c r="B836" s="7">
        <f t="shared" si="16"/>
        <v>45240</v>
      </c>
      <c r="C836" s="1" t="s">
        <v>894</v>
      </c>
      <c r="D836" s="1" t="s">
        <v>183</v>
      </c>
      <c r="E836" s="1" t="s">
        <v>184</v>
      </c>
      <c r="F836" s="4">
        <v>45240.968055555553</v>
      </c>
      <c r="G836" s="4">
        <v>45240.968055555553</v>
      </c>
      <c r="H836" s="1" t="s">
        <v>21</v>
      </c>
      <c r="I836" s="1" t="s">
        <v>22</v>
      </c>
      <c r="J836" s="1" t="s">
        <v>63</v>
      </c>
      <c r="L836" s="2">
        <v>8219.0300000000007</v>
      </c>
    </row>
    <row r="837" spans="1:12" x14ac:dyDescent="0.2">
      <c r="A837" s="6" t="str">
        <f>VLOOKUP(J837,[1]Clientes!$C:$H,6,0)</f>
        <v>AMBEV</v>
      </c>
      <c r="B837" s="7">
        <f t="shared" si="16"/>
        <v>45241</v>
      </c>
      <c r="C837" s="1" t="s">
        <v>895</v>
      </c>
      <c r="D837" s="1" t="s">
        <v>19</v>
      </c>
      <c r="E837" s="1" t="s">
        <v>20</v>
      </c>
      <c r="F837" s="4">
        <v>45241.082638888889</v>
      </c>
      <c r="G837" s="4">
        <v>45241.082638888889</v>
      </c>
      <c r="H837" s="1" t="s">
        <v>21</v>
      </c>
      <c r="I837" s="1" t="s">
        <v>22</v>
      </c>
      <c r="J837" s="1" t="s">
        <v>727</v>
      </c>
      <c r="L837" s="2">
        <v>20569.330000000002</v>
      </c>
    </row>
    <row r="838" spans="1:12" x14ac:dyDescent="0.2">
      <c r="A838" s="6" t="s">
        <v>1</v>
      </c>
      <c r="B838" s="7">
        <f t="shared" si="16"/>
        <v>45241</v>
      </c>
      <c r="C838" s="1" t="s">
        <v>896</v>
      </c>
      <c r="D838" s="1" t="s">
        <v>19</v>
      </c>
      <c r="E838" s="1" t="s">
        <v>20</v>
      </c>
      <c r="F838" s="4">
        <v>45241.381944444445</v>
      </c>
      <c r="G838" s="4">
        <v>45241.381944444445</v>
      </c>
      <c r="H838" s="1" t="s">
        <v>21</v>
      </c>
      <c r="I838" s="1" t="s">
        <v>22</v>
      </c>
      <c r="J838" s="1" t="s">
        <v>25</v>
      </c>
      <c r="L838" s="2">
        <v>3553.41</v>
      </c>
    </row>
    <row r="839" spans="1:12" x14ac:dyDescent="0.2">
      <c r="A839" s="6" t="s">
        <v>1</v>
      </c>
      <c r="B839" s="7">
        <f t="shared" si="16"/>
        <v>45241</v>
      </c>
      <c r="C839" s="1" t="s">
        <v>897</v>
      </c>
      <c r="D839" s="1" t="s">
        <v>19</v>
      </c>
      <c r="E839" s="1" t="s">
        <v>20</v>
      </c>
      <c r="F839" s="4">
        <v>45241.385416666664</v>
      </c>
      <c r="G839" s="4">
        <v>45241.385416666664</v>
      </c>
      <c r="H839" s="1" t="s">
        <v>21</v>
      </c>
      <c r="I839" s="1" t="s">
        <v>22</v>
      </c>
      <c r="J839" s="1" t="s">
        <v>25</v>
      </c>
      <c r="L839" s="2">
        <v>3552.78</v>
      </c>
    </row>
    <row r="840" spans="1:12" x14ac:dyDescent="0.2">
      <c r="A840" s="6" t="str">
        <f>VLOOKUP(J840,[1]Clientes!$C:$H,6,0)</f>
        <v>AMBEV</v>
      </c>
      <c r="B840" s="7">
        <f t="shared" si="16"/>
        <v>45241</v>
      </c>
      <c r="C840" s="1" t="s">
        <v>898</v>
      </c>
      <c r="D840" s="1" t="s">
        <v>19</v>
      </c>
      <c r="E840" s="1" t="s">
        <v>20</v>
      </c>
      <c r="F840" s="4">
        <v>45241.920138888891</v>
      </c>
      <c r="G840" s="4">
        <v>45241.920138888891</v>
      </c>
      <c r="H840" s="1" t="s">
        <v>21</v>
      </c>
      <c r="I840" s="1" t="s">
        <v>22</v>
      </c>
      <c r="J840" s="1" t="s">
        <v>899</v>
      </c>
      <c r="L840" s="2">
        <v>5644.52</v>
      </c>
    </row>
  </sheetData>
  <autoFilter ref="A1:L840" xr:uid="{2464BD41-C619-4317-9B82-3D358D03974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2023-10-31T11:56:24Z</dcterms:created>
  <dcterms:modified xsi:type="dcterms:W3CDTF">2026-04-29T22:23:49Z</dcterms:modified>
</cp:coreProperties>
</file>